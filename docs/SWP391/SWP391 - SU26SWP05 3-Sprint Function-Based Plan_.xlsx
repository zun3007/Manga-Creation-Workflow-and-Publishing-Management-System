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print Plan" sheetId="2" r:id="rId6"/>
    <sheet state="visible" name="Backlog" sheetId="3" r:id="rId7"/>
    <sheet state="visible" name="Functions by Sprint" sheetId="4" r:id="rId8"/>
    <sheet state="visible" name="Members" sheetId="5" r:id="rId9"/>
    <sheet state="visible" name="Jira Import" sheetId="6" r:id="rId10"/>
    <sheet state="visible" name="Lists" sheetId="7" r:id="rId11"/>
  </sheets>
  <definedNames/>
  <calcPr/>
</workbook>
</file>

<file path=xl/sharedStrings.xml><?xml version="1.0" encoding="utf-8"?>
<sst xmlns="http://schemas.openxmlformats.org/spreadsheetml/2006/main" count="1116" uniqueCount="482">
  <si>
    <t>SWP391 - SU26SWP05 3-Sprint Function-Based Plan</t>
  </si>
  <si>
    <t>Project</t>
  </si>
  <si>
    <t>Manga Creation Workflow and Publishing Management System</t>
  </si>
  <si>
    <t>Metric</t>
  </si>
  <si>
    <t>Value</t>
  </si>
  <si>
    <t>Team</t>
  </si>
  <si>
    <t>Hiền, Hào, Dũng, Phát</t>
  </si>
  <si>
    <t>Total Functions</t>
  </si>
  <si>
    <t>Sprint Style</t>
  </si>
  <si>
    <t>3 sprint groups based on main project functions</t>
  </si>
  <si>
    <t>Done</t>
  </si>
  <si>
    <t>Sprint Count</t>
  </si>
  <si>
    <t>In Progress</t>
  </si>
  <si>
    <t>Owner Columns</t>
  </si>
  <si>
    <t>Blank for team to select manually</t>
  </si>
  <si>
    <t>To Do</t>
  </si>
  <si>
    <t>Method</t>
  </si>
  <si>
    <t>Agile / Scrum</t>
  </si>
  <si>
    <t>Completion</t>
  </si>
  <si>
    <t>Core Flow</t>
  </si>
  <si>
    <t>Series → Chapter → Page Workspace → Task → Submission → Review → Publishing → Ranking → Decision</t>
  </si>
  <si>
    <t>Blank Main Owner</t>
  </si>
  <si>
    <t>Sprint</t>
  </si>
  <si>
    <t>Module / Function</t>
  </si>
  <si>
    <t>Sprint 1</t>
  </si>
  <si>
    <t>Core Foundation, Series &amp; Chapter</t>
  </si>
  <si>
    <t>Sprint 2</t>
  </si>
  <si>
    <t>Page Workspace, Task Assignment &amp; Review Workflow</t>
  </si>
  <si>
    <t>Sprint 3</t>
  </si>
  <si>
    <t>Publishing, Ranking, Risk Decision &amp; Final Demo</t>
  </si>
  <si>
    <t>Included Functions</t>
  </si>
  <si>
    <t>Demo Goal</t>
  </si>
  <si>
    <t>Authentication, User/Role Management, Series Proposal, Proposal Approval, Series Management, Chapter Management, Page Upload</t>
  </si>
  <si>
    <t>User can login, Mangaka creates a series proposal, Board approves it, and Mangaka creates chapter with uploaded pages</t>
  </si>
  <si>
    <t>Page Workspace, Region Segmentation, Task Assignment, Assistant Submission, Mangaka Review, Revision, Editor Review, Annotation</t>
  </si>
  <si>
    <t>Mangaka creates regions, assigns tasks, Assistant submits work, Mangaka reviews, and Editor reviews chapter</t>
  </si>
  <si>
    <t>Publishing Schedule, Final Approval, Vote Import, Ranking Dashboard, Risk Alert, Board Decision, Testing, Demo Data, Report/Slide</t>
  </si>
  <si>
    <t>Board publishes chapter, imports votes, system calculates ranking, creates risk alert, and Board makes decision</t>
  </si>
  <si>
    <t>Function ID</t>
  </si>
  <si>
    <t>Function</t>
  </si>
  <si>
    <t>Description</t>
  </si>
  <si>
    <t>Main Owner</t>
  </si>
  <si>
    <t>Support</t>
  </si>
  <si>
    <t>Priority</t>
  </si>
  <si>
    <t>Status</t>
  </si>
  <si>
    <t>Module</t>
  </si>
  <si>
    <t>S1-F01</t>
  </si>
  <si>
    <t>Login</t>
  </si>
  <si>
    <t>User can log in using valid email and password</t>
  </si>
  <si>
    <t>High</t>
  </si>
  <si>
    <t>Authentication</t>
  </si>
  <si>
    <t>S1-F02</t>
  </si>
  <si>
    <t>Logout</t>
  </si>
  <si>
    <t>User can log out from the system</t>
  </si>
  <si>
    <t>S1-F03</t>
  </si>
  <si>
    <t>Role-based Dashboard</t>
  </si>
  <si>
    <t>System redirects user to the correct dashboard based on role</t>
  </si>
  <si>
    <t>Authorization</t>
  </si>
  <si>
    <t>S1-F04</t>
  </si>
  <si>
    <t>User Management</t>
  </si>
  <si>
    <t>Admin can create, update, deactivate users</t>
  </si>
  <si>
    <t>Medium</t>
  </si>
  <si>
    <t>Administration</t>
  </si>
  <si>
    <t>S1-F05</t>
  </si>
  <si>
    <t>Role Management</t>
  </si>
  <si>
    <t>Admin can assign roles to users</t>
  </si>
  <si>
    <t>S1-F06</t>
  </si>
  <si>
    <t>Create Series Proposal</t>
  </si>
  <si>
    <t>Mangaka can create a new series proposal</t>
  </si>
  <si>
    <t>Series Proposal</t>
  </si>
  <si>
    <t>S1-F07</t>
  </si>
  <si>
    <t>Edit Series Proposal</t>
  </si>
  <si>
    <t>Mangaka can edit proposal before submission</t>
  </si>
  <si>
    <t>S1-F08</t>
  </si>
  <si>
    <t>Upload Sample Manuscript</t>
  </si>
  <si>
    <t>Mangaka can upload sample manuscript for proposal</t>
  </si>
  <si>
    <t>S1-F09</t>
  </si>
  <si>
    <t>Submit Proposal</t>
  </si>
  <si>
    <t>Proposal can be submitted for approval</t>
  </si>
  <si>
    <t>S1-F10</t>
  </si>
  <si>
    <t>Proposal Review</t>
  </si>
  <si>
    <t>Editor or Board can view proposal detail</t>
  </si>
  <si>
    <t>Proposal Approval</t>
  </si>
  <si>
    <t>S1-F11</t>
  </si>
  <si>
    <t>Approve / Reject Proposal</t>
  </si>
  <si>
    <t>Board can approve or reject proposal</t>
  </si>
  <si>
    <t>S1-F12</t>
  </si>
  <si>
    <t>Create Series from Approved Proposal</t>
  </si>
  <si>
    <t>System creates official series after approval</t>
  </si>
  <si>
    <t>Series Management</t>
  </si>
  <si>
    <t>S1-F13</t>
  </si>
  <si>
    <t>Series List</t>
  </si>
  <si>
    <t>User can view list of series</t>
  </si>
  <si>
    <t>S1-F14</t>
  </si>
  <si>
    <t>Series Detail</t>
  </si>
  <si>
    <t>User can view series information and related chapters</t>
  </si>
  <si>
    <t>S1-F15</t>
  </si>
  <si>
    <t>Create Chapter</t>
  </si>
  <si>
    <t>Mangaka can create a chapter for an active series</t>
  </si>
  <si>
    <t>Chapter Management</t>
  </si>
  <si>
    <t>S1-F16</t>
  </si>
  <si>
    <t>Chapter List</t>
  </si>
  <si>
    <t>User can view chapter list by series</t>
  </si>
  <si>
    <t>S1-F17</t>
  </si>
  <si>
    <t>Chapter Detail</t>
  </si>
  <si>
    <t>User can view chapter progress, deadline and page list</t>
  </si>
  <si>
    <t>S1-F18</t>
  </si>
  <si>
    <t>Upload Manga Page</t>
  </si>
  <si>
    <t>Mangaka can upload manga pages for a chapter</t>
  </si>
  <si>
    <t>Page Management</t>
  </si>
  <si>
    <t>S1-F19</t>
  </si>
  <si>
    <t>Page List</t>
  </si>
  <si>
    <t>User can view pages inside a chapter</t>
  </si>
  <si>
    <t>S2-F01</t>
  </si>
  <si>
    <t>Open Page Workspace</t>
  </si>
  <si>
    <t>Mangaka can open workspace for a selected page</t>
  </si>
  <si>
    <t>Page Workspace</t>
  </si>
  <si>
    <t>S2-F02</t>
  </si>
  <si>
    <t>Display Manga Page Canvas</t>
  </si>
  <si>
    <t>System displays manga page on canvas</t>
  </si>
  <si>
    <t>S2-F03</t>
  </si>
  <si>
    <t>Zoom / Fit Page</t>
  </si>
  <si>
    <t>User can zoom in, zoom out and fit page</t>
  </si>
  <si>
    <t>S2-F04</t>
  </si>
  <si>
    <t>Draw Region</t>
  </si>
  <si>
    <t>Mangaka can draw a rectangle region on the page</t>
  </si>
  <si>
    <t>Region Segmentation</t>
  </si>
  <si>
    <t>S2-F05</t>
  </si>
  <si>
    <t>Select Region Type</t>
  </si>
  <si>
    <t>Mangaka can select type: panel, character, background, bubble</t>
  </si>
  <si>
    <t>S2-F06</t>
  </si>
  <si>
    <t>Save Region Coordinates</t>
  </si>
  <si>
    <t>System saves x, y, width, height and region type</t>
  </si>
  <si>
    <t>S2-F07</t>
  </si>
  <si>
    <t>Edit / Delete Region</t>
  </si>
  <si>
    <t>Mangaka can edit or delete a region</t>
  </si>
  <si>
    <t>S2-F08</t>
  </si>
  <si>
    <t>AI Suggest Region</t>
  </si>
  <si>
    <t>AI can suggest regions on page, optional</t>
  </si>
  <si>
    <t>Low</t>
  </si>
  <si>
    <t>AI Optional</t>
  </si>
  <si>
    <t>S2-F09</t>
  </si>
  <si>
    <t>Create Task from Region</t>
  </si>
  <si>
    <t>Mangaka can create task from selected region</t>
  </si>
  <si>
    <t>Task Management</t>
  </si>
  <si>
    <t>S2-F10</t>
  </si>
  <si>
    <t>Assign Task to Assistant</t>
  </si>
  <si>
    <t>Mangaka can assign task to an Assistant</t>
  </si>
  <si>
    <t>S2-F11</t>
  </si>
  <si>
    <t>Task Detail</t>
  </si>
  <si>
    <t>User can view task detail and region information</t>
  </si>
  <si>
    <t>S2-F12</t>
  </si>
  <si>
    <t>Task Board</t>
  </si>
  <si>
    <t>User can view tasks by status on kanban board</t>
  </si>
  <si>
    <t>S2-F13</t>
  </si>
  <si>
    <t>My Assigned Tasks</t>
  </si>
  <si>
    <t>Assistant can view tasks assigned to them</t>
  </si>
  <si>
    <t>S2-F14</t>
  </si>
  <si>
    <t>Task Status Tracking</t>
  </si>
  <si>
    <t>System tracks Assigned, In Progress, Submitted, Revision, Approved</t>
  </si>
  <si>
    <t>S2-F15</t>
  </si>
  <si>
    <t>Task Notification</t>
  </si>
  <si>
    <t>Assistant receives notification when task is assigned</t>
  </si>
  <si>
    <t>Notification</t>
  </si>
  <si>
    <t>S2-F16</t>
  </si>
  <si>
    <t>View My Tasks</t>
  </si>
  <si>
    <t>Assistant can view assigned task list</t>
  </si>
  <si>
    <t>Assistant Submission</t>
  </si>
  <si>
    <t>S2-F17</t>
  </si>
  <si>
    <t>View Task Detail</t>
  </si>
  <si>
    <t>Assistant can view task instruction and deadline</t>
  </si>
  <si>
    <t>S2-F18</t>
  </si>
  <si>
    <t>Download Reference File</t>
  </si>
  <si>
    <t>Assistant can download page or reference files</t>
  </si>
  <si>
    <t>S2-F19</t>
  </si>
  <si>
    <t>Upload Submission</t>
  </si>
  <si>
    <t>Assistant can upload completed task file</t>
  </si>
  <si>
    <t>S2-F20</t>
  </si>
  <si>
    <t>Add Submission Note</t>
  </si>
  <si>
    <t>Assistant can add note when submitting</t>
  </si>
  <si>
    <t>S2-F21</t>
  </si>
  <si>
    <t>Submission Version History</t>
  </si>
  <si>
    <t>System stores multiple submission versions</t>
  </si>
  <si>
    <t>S2-F22</t>
  </si>
  <si>
    <t>Submission Notification</t>
  </si>
  <si>
    <t>Mangaka receives notification when submission is uploaded</t>
  </si>
  <si>
    <t>S2-F23</t>
  </si>
  <si>
    <t>Pending Submission List</t>
  </si>
  <si>
    <t>Mangaka can view submissions waiting for review</t>
  </si>
  <si>
    <t>Mangaka Review</t>
  </si>
  <si>
    <t>S2-F24</t>
  </si>
  <si>
    <t>Submission Preview</t>
  </si>
  <si>
    <t>Mangaka can preview Assistant submission</t>
  </si>
  <si>
    <t>S2-F25</t>
  </si>
  <si>
    <t>Compare Original / Submission</t>
  </si>
  <si>
    <t>Mangaka can compare original page and submitted file</t>
  </si>
  <si>
    <t>S2-F26</t>
  </si>
  <si>
    <t>Approve Submission</t>
  </si>
  <si>
    <t>Mangaka can approve accepted submission</t>
  </si>
  <si>
    <t>S2-F27</t>
  </si>
  <si>
    <t>Request Revision</t>
  </si>
  <si>
    <t>Mangaka can request revision if submission is not accepted</t>
  </si>
  <si>
    <t>S2-F28</t>
  </si>
  <si>
    <t>Review Comment</t>
  </si>
  <si>
    <t>Mangaka must write comment when requesting revision</t>
  </si>
  <si>
    <t>S2-F29</t>
  </si>
  <si>
    <t>Update Chapter Progress</t>
  </si>
  <si>
    <t>System updates chapter progress after task approval</t>
  </si>
  <si>
    <t>Chapter Progress</t>
  </si>
  <si>
    <t>S2-F30</t>
  </si>
  <si>
    <t>Chapter Ready for Review List</t>
  </si>
  <si>
    <t>Editor can view chapters ready for review</t>
  </si>
  <si>
    <t>Editor Review</t>
  </si>
  <si>
    <t>S2-F31</t>
  </si>
  <si>
    <t>Editor Review Screen</t>
  </si>
  <si>
    <t>Editor can review chapter pages and manuscript</t>
  </si>
  <si>
    <t>S2-F32</t>
  </si>
  <si>
    <t>Add Annotation</t>
  </si>
  <si>
    <t>Editor can add annotation on page</t>
  </si>
  <si>
    <t>Annotation</t>
  </si>
  <si>
    <t>S2-F33</t>
  </si>
  <si>
    <t>Annotation Type</t>
  </si>
  <si>
    <t>Editor can classify annotation type</t>
  </si>
  <si>
    <t>S2-F34</t>
  </si>
  <si>
    <t>Approve Chapter</t>
  </si>
  <si>
    <t>Editor can approve reviewed chapter</t>
  </si>
  <si>
    <t>S2-F35</t>
  </si>
  <si>
    <t>Send Revision to Mangaka</t>
  </si>
  <si>
    <t>Editor can request Mangaka revision</t>
  </si>
  <si>
    <t>S2-F36</t>
  </si>
  <si>
    <t>Review History</t>
  </si>
  <si>
    <t>System stores editor review history</t>
  </si>
  <si>
    <t>S3-F01</t>
  </si>
  <si>
    <t>Publication Schedule</t>
  </si>
  <si>
    <t>Board can create publication schedule</t>
  </si>
  <si>
    <t>Publishing</t>
  </si>
  <si>
    <t>S3-F02</t>
  </si>
  <si>
    <t>Final Approval</t>
  </si>
  <si>
    <t>Board can final approve chapter</t>
  </si>
  <si>
    <t>S3-F03</t>
  </si>
  <si>
    <t>Lock Final Version</t>
  </si>
  <si>
    <t>System locks final version after approval</t>
  </si>
  <si>
    <t>S3-F04</t>
  </si>
  <si>
    <t>Import Vote Data</t>
  </si>
  <si>
    <t>Board can import reader vote data</t>
  </si>
  <si>
    <t>Voting</t>
  </si>
  <si>
    <t>S3-F05</t>
  </si>
  <si>
    <t>Validate Vote Data</t>
  </si>
  <si>
    <t>System validates vote data</t>
  </si>
  <si>
    <t>S3-F06</t>
  </si>
  <si>
    <t>Calculate Ranking</t>
  </si>
  <si>
    <t>System calculates ranking by vote data</t>
  </si>
  <si>
    <t>Ranking</t>
  </si>
  <si>
    <t>S3-F07</t>
  </si>
  <si>
    <t>Ranking Dashboard</t>
  </si>
  <si>
    <t>User can view ranking dashboard</t>
  </si>
  <si>
    <t>S3-F08</t>
  </si>
  <si>
    <t>Ranking History</t>
  </si>
  <si>
    <t>User can view ranking history by issue</t>
  </si>
  <si>
    <t>S3-F09</t>
  </si>
  <si>
    <t>Risk Alert</t>
  </si>
  <si>
    <t>System creates alert when ranking is low</t>
  </si>
  <si>
    <t>Risk Decision</t>
  </si>
  <si>
    <t>S3-F10</t>
  </si>
  <si>
    <t>Risk Alert Detail</t>
  </si>
  <si>
    <t>Board can view detail of ranking risk</t>
  </si>
  <si>
    <t>S3-F11</t>
  </si>
  <si>
    <t>Series Dossier</t>
  </si>
  <si>
    <t>Board can view series dossier before decision</t>
  </si>
  <si>
    <t>S3-F12</t>
  </si>
  <si>
    <t>Board Decision</t>
  </si>
  <si>
    <t>Board can choose Continue, Cancel, or Change Schedule</t>
  </si>
  <si>
    <t>S3-F13</t>
  </si>
  <si>
    <t>Update Series Status</t>
  </si>
  <si>
    <t>System updates series status after board decision</t>
  </si>
  <si>
    <t>S3-F14</t>
  </si>
  <si>
    <t>Full System Testing</t>
  </si>
  <si>
    <t>Team tests the full end-to-end workflow</t>
  </si>
  <si>
    <t>Testing</t>
  </si>
  <si>
    <t>S3-F15</t>
  </si>
  <si>
    <t>Bug Fixing</t>
  </si>
  <si>
    <t>Team fixes critical bugs before final demo</t>
  </si>
  <si>
    <t>S3-F16</t>
  </si>
  <si>
    <t>Demo Data</t>
  </si>
  <si>
    <t>Prepare accounts, series, chapters, pages, tasks, submissions, ranking data</t>
  </si>
  <si>
    <t>Demo</t>
  </si>
  <si>
    <t>S3-F17</t>
  </si>
  <si>
    <t>Final Report / Slide</t>
  </si>
  <si>
    <t>Complete final report and presentation slide</t>
  </si>
  <si>
    <t>Documentation</t>
  </si>
  <si>
    <t>Functions</t>
  </si>
  <si>
    <t>- Login
- Logout
- Role-based Dashboard
- User Management
- Role Management
- Create Series Proposal
- Edit Series Proposal
- Upload Sample Manuscript
- Submit Proposal
- Proposal Review
- Approve / Reject Proposal
- Create Series from Approved Proposal
- Series List
- Series Detail
- Create Chapter
- Chapter List
- Chapter Detail
- Upload Manga Page
- Page List</t>
  </si>
  <si>
    <t>- Open Page Workspace
- Display Manga Page Canvas
- Zoom / Fit Page
- Draw Region
- Select Region Type
- Save Region Coordinates
- Edit / Delete Region
- AI Suggest Region
- Create Task from Region
- Assign Task to Assistant
- Task Detail
- Task Board
- My Assigned Tasks
- Task Status Tracking
- Task Notification
- View My Tasks
- View Task Detail
- Download Reference File
- Upload Submission
- Add Submission Note
- Submission Version History
- Submission Notification
- Pending Submission List
- Submission Preview
- Compare Original / Submission
- Approve Submission
- Request Revision
- Review Comment
- Update Chapter Progress
- Chapter Ready for Review List
- Editor Review Screen
- Add Annotation
- Annotation Type
- Approve Chapter
- Send Revision to Mangaka
- Review History</t>
  </si>
  <si>
    <t>- Publication Schedule
- Final Approval
- Lock Final Version
- Import Vote Data
- Validate Vote Data
- Calculate Ranking
- Ranking Dashboard
- Ranking History
- Risk Alert
- Risk Alert Detail
- Series Dossier
- Board Decision
- Update Series Status
- Full System Testing
- Bug Fixing
- Demo Data
- Final Report / Slide</t>
  </si>
  <si>
    <t>Member</t>
  </si>
  <si>
    <t>Suggested Role</t>
  </si>
  <si>
    <t>Assigned Count</t>
  </si>
  <si>
    <t>Hiền</t>
  </si>
  <si>
    <t>Project Leader / BA / Document</t>
  </si>
  <si>
    <t>Hào</t>
  </si>
  <si>
    <t>Frontend Lead</t>
  </si>
  <si>
    <t>Dũng</t>
  </si>
  <si>
    <t>Tester / Backend Lead</t>
  </si>
  <si>
    <t>Phát</t>
  </si>
  <si>
    <t>Page Workspace / Integration</t>
  </si>
  <si>
    <t>Issue Type</t>
  </si>
  <si>
    <t>Summary</t>
  </si>
  <si>
    <t>Assignee</t>
  </si>
  <si>
    <t>Epic Name</t>
  </si>
  <si>
    <t>Labels</t>
  </si>
  <si>
    <t>Task</t>
  </si>
  <si>
    <t>[Authentication] Login</t>
  </si>
  <si>
    <t>Function ID: S1-F01
Sprint: Sprint 1
Description: User can log in using valid email and password</t>
  </si>
  <si>
    <t>authentication</t>
  </si>
  <si>
    <t>[Authentication] Logout</t>
  </si>
  <si>
    <t>Function ID: S1-F02
Sprint: Sprint 1
Description: User can log out from the system</t>
  </si>
  <si>
    <t>[Authorization] Role-based Dashboard</t>
  </si>
  <si>
    <t>Function ID: S1-F03
Sprint: Sprint 1
Description: System redirects user to the correct dashboard based on role</t>
  </si>
  <si>
    <t>authorization</t>
  </si>
  <si>
    <t>[Administration] User Management</t>
  </si>
  <si>
    <t>Function ID: S1-F04
Sprint: Sprint 1
Description: Admin can create, update, deactivate users</t>
  </si>
  <si>
    <t>administration</t>
  </si>
  <si>
    <t>[Administration] Role Management</t>
  </si>
  <si>
    <t>Function ID: S1-F05
Sprint: Sprint 1
Description: Admin can assign roles to users</t>
  </si>
  <si>
    <t>[Series Proposal] Create Series Proposal</t>
  </si>
  <si>
    <t>Function ID: S1-F06
Sprint: Sprint 1
Description: Mangaka can create a new series proposal</t>
  </si>
  <si>
    <t>series-proposal</t>
  </si>
  <si>
    <t>[Series Proposal] Edit Series Proposal</t>
  </si>
  <si>
    <t>Function ID: S1-F07
Sprint: Sprint 1
Description: Mangaka can edit proposal before submission</t>
  </si>
  <si>
    <t>[Series Proposal] Upload Sample Manuscript</t>
  </si>
  <si>
    <t>Function ID: S1-F08
Sprint: Sprint 1
Description: Mangaka can upload sample manuscript for proposal</t>
  </si>
  <si>
    <t>[Series Proposal] Submit Proposal</t>
  </si>
  <si>
    <t>Function ID: S1-F09
Sprint: Sprint 1
Description: Proposal can be submitted for approval</t>
  </si>
  <si>
    <t>[Proposal Approval] Proposal Review</t>
  </si>
  <si>
    <t>Function ID: S1-F10
Sprint: Sprint 1
Description: Editor or Board can view proposal detail</t>
  </si>
  <si>
    <t>proposal-approval</t>
  </si>
  <si>
    <t>[Proposal Approval] Approve / Reject Proposal</t>
  </si>
  <si>
    <t>Function ID: S1-F11
Sprint: Sprint 1
Description: Board can approve or reject proposal</t>
  </si>
  <si>
    <t>[Series Management] Create Series from Approved Proposal</t>
  </si>
  <si>
    <t>Function ID: S1-F12
Sprint: Sprint 1
Description: System creates official series after approval</t>
  </si>
  <si>
    <t>series-management</t>
  </si>
  <si>
    <t>[Series Management] Series List</t>
  </si>
  <si>
    <t>Function ID: S1-F13
Sprint: Sprint 1
Description: User can view list of series</t>
  </si>
  <si>
    <t>[Series Management] Series Detail</t>
  </si>
  <si>
    <t>Function ID: S1-F14
Sprint: Sprint 1
Description: User can view series information and related chapters</t>
  </si>
  <si>
    <t>[Chapter Management] Create Chapter</t>
  </si>
  <si>
    <t>Function ID: S1-F15
Sprint: Sprint 1
Description: Mangaka can create a chapter for an active series</t>
  </si>
  <si>
    <t>chapter-management</t>
  </si>
  <si>
    <t>[Chapter Management] Chapter List</t>
  </si>
  <si>
    <t>Function ID: S1-F16
Sprint: Sprint 1
Description: User can view chapter list by series</t>
  </si>
  <si>
    <t>[Chapter Management] Chapter Detail</t>
  </si>
  <si>
    <t>Function ID: S1-F17
Sprint: Sprint 1
Description: User can view chapter progress, deadline and page list</t>
  </si>
  <si>
    <t>[Page Management] Upload Manga Page</t>
  </si>
  <si>
    <t>Function ID: S1-F18
Sprint: Sprint 1
Description: Mangaka can upload manga pages for a chapter</t>
  </si>
  <si>
    <t>page-management</t>
  </si>
  <si>
    <t>[Page Management] Page List</t>
  </si>
  <si>
    <t>Function ID: S1-F19
Sprint: Sprint 1
Description: User can view pages inside a chapter</t>
  </si>
  <si>
    <t>[Page Workspace] Open Page Workspace</t>
  </si>
  <si>
    <t>Function ID: S2-F01
Sprint: Sprint 2
Description: Mangaka can open workspace for a selected page</t>
  </si>
  <si>
    <t>page-workspace</t>
  </si>
  <si>
    <t>[Page Workspace] Display Manga Page Canvas</t>
  </si>
  <si>
    <t>Function ID: S2-F02
Sprint: Sprint 2
Description: System displays manga page on canvas</t>
  </si>
  <si>
    <t>[Page Workspace] Zoom / Fit Page</t>
  </si>
  <si>
    <t>Function ID: S2-F03
Sprint: Sprint 2
Description: User can zoom in, zoom out and fit page</t>
  </si>
  <si>
    <t>[Region Segmentation] Draw Region</t>
  </si>
  <si>
    <t>Function ID: S2-F04
Sprint: Sprint 2
Description: Mangaka can draw a rectangle region on the page</t>
  </si>
  <si>
    <t>region-segmentation</t>
  </si>
  <si>
    <t>[Region Segmentation] Select Region Type</t>
  </si>
  <si>
    <t>Function ID: S2-F05
Sprint: Sprint 2
Description: Mangaka can select type: panel, character, background, bubble</t>
  </si>
  <si>
    <t>[Region Segmentation] Save Region Coordinates</t>
  </si>
  <si>
    <t>Function ID: S2-F06
Sprint: Sprint 2
Description: System saves x, y, width, height and region type</t>
  </si>
  <si>
    <t>[Region Segmentation] Edit / Delete Region</t>
  </si>
  <si>
    <t>Function ID: S2-F07
Sprint: Sprint 2
Description: Mangaka can edit or delete a region</t>
  </si>
  <si>
    <t>[AI Optional] AI Suggest Region</t>
  </si>
  <si>
    <t>Function ID: S2-F08
Sprint: Sprint 2
Description: AI can suggest regions on page, optional</t>
  </si>
  <si>
    <t>ai-optional</t>
  </si>
  <si>
    <t>[Task Management] Create Task from Region</t>
  </si>
  <si>
    <t>Function ID: S2-F09
Sprint: Sprint 2
Description: Mangaka can create task from selected region</t>
  </si>
  <si>
    <t>task-management</t>
  </si>
  <si>
    <t>[Task Management] Assign Task to Assistant</t>
  </si>
  <si>
    <t>Function ID: S2-F10
Sprint: Sprint 2
Description: Mangaka can assign task to an Assistant</t>
  </si>
  <si>
    <t>[Task Management] Task Detail</t>
  </si>
  <si>
    <t>Function ID: S2-F11
Sprint: Sprint 2
Description: User can view task detail and region information</t>
  </si>
  <si>
    <t>[Task Management] Task Board</t>
  </si>
  <si>
    <t>Function ID: S2-F12
Sprint: Sprint 2
Description: User can view tasks by status on kanban board</t>
  </si>
  <si>
    <t>[Task Management] My Assigned Tasks</t>
  </si>
  <si>
    <t>Function ID: S2-F13
Sprint: Sprint 2
Description: Assistant can view tasks assigned to them</t>
  </si>
  <si>
    <t>[Task Management] Task Status Tracking</t>
  </si>
  <si>
    <t>Function ID: S2-F14
Sprint: Sprint 2
Description: System tracks Assigned, In Progress, Submitted, Revision, Approved</t>
  </si>
  <si>
    <t>[Notification] Task Notification</t>
  </si>
  <si>
    <t>Function ID: S2-F15
Sprint: Sprint 2
Description: Assistant receives notification when task is assigned</t>
  </si>
  <si>
    <t>notification</t>
  </si>
  <si>
    <t>[Assistant Submission] View My Tasks</t>
  </si>
  <si>
    <t>Function ID: S2-F16
Sprint: Sprint 2
Description: Assistant can view assigned task list</t>
  </si>
  <si>
    <t>assistant-submission</t>
  </si>
  <si>
    <t>[Assistant Submission] View Task Detail</t>
  </si>
  <si>
    <t>Function ID: S2-F17
Sprint: Sprint 2
Description: Assistant can view task instruction and deadline</t>
  </si>
  <si>
    <t>[Assistant Submission] Download Reference File</t>
  </si>
  <si>
    <t>Function ID: S2-F18
Sprint: Sprint 2
Description: Assistant can download page or reference files</t>
  </si>
  <si>
    <t>[Assistant Submission] Upload Submission</t>
  </si>
  <si>
    <t>Function ID: S2-F19
Sprint: Sprint 2
Description: Assistant can upload completed task file</t>
  </si>
  <si>
    <t>[Assistant Submission] Add Submission Note</t>
  </si>
  <si>
    <t>Function ID: S2-F20
Sprint: Sprint 2
Description: Assistant can add note when submitting</t>
  </si>
  <si>
    <t>[Assistant Submission] Submission Version History</t>
  </si>
  <si>
    <t>Function ID: S2-F21
Sprint: Sprint 2
Description: System stores multiple submission versions</t>
  </si>
  <si>
    <t>[Notification] Submission Notification</t>
  </si>
  <si>
    <t>Function ID: S2-F22
Sprint: Sprint 2
Description: Mangaka receives notification when submission is uploaded</t>
  </si>
  <si>
    <t>[Mangaka Review] Pending Submission List</t>
  </si>
  <si>
    <t>Function ID: S2-F23
Sprint: Sprint 2
Description: Mangaka can view submissions waiting for review</t>
  </si>
  <si>
    <t>mangaka-review</t>
  </si>
  <si>
    <t>[Mangaka Review] Submission Preview</t>
  </si>
  <si>
    <t>Function ID: S2-F24
Sprint: Sprint 2
Description: Mangaka can preview Assistant submission</t>
  </si>
  <si>
    <t>[Mangaka Review] Compare Original / Submission</t>
  </si>
  <si>
    <t>Function ID: S2-F25
Sprint: Sprint 2
Description: Mangaka can compare original page and submitted file</t>
  </si>
  <si>
    <t>[Mangaka Review] Approve Submission</t>
  </si>
  <si>
    <t>Function ID: S2-F26
Sprint: Sprint 2
Description: Mangaka can approve accepted submission</t>
  </si>
  <si>
    <t>[Mangaka Review] Request Revision</t>
  </si>
  <si>
    <t>Function ID: S2-F27
Sprint: Sprint 2
Description: Mangaka can request revision if submission is not accepted</t>
  </si>
  <si>
    <t>[Mangaka Review] Review Comment</t>
  </si>
  <si>
    <t>Function ID: S2-F28
Sprint: Sprint 2
Description: Mangaka must write comment when requesting revision</t>
  </si>
  <si>
    <t>[Chapter Progress] Update Chapter Progress</t>
  </si>
  <si>
    <t>Function ID: S2-F29
Sprint: Sprint 2
Description: System updates chapter progress after task approval</t>
  </si>
  <si>
    <t>chapter-progress</t>
  </si>
  <si>
    <t>[Editor Review] Chapter Ready for Review List</t>
  </si>
  <si>
    <t>Function ID: S2-F30
Sprint: Sprint 2
Description: Editor can view chapters ready for review</t>
  </si>
  <si>
    <t>editor-review</t>
  </si>
  <si>
    <t>[Editor Review] Editor Review Screen</t>
  </si>
  <si>
    <t>Function ID: S2-F31
Sprint: Sprint 2
Description: Editor can review chapter pages and manuscript</t>
  </si>
  <si>
    <t>[Annotation] Add Annotation</t>
  </si>
  <si>
    <t>Function ID: S2-F32
Sprint: Sprint 2
Description: Editor can add annotation on page</t>
  </si>
  <si>
    <t>annotation</t>
  </si>
  <si>
    <t>[Annotation] Annotation Type</t>
  </si>
  <si>
    <t>Function ID: S2-F33
Sprint: Sprint 2
Description: Editor can classify annotation type</t>
  </si>
  <si>
    <t>[Editor Review] Approve Chapter</t>
  </si>
  <si>
    <t>Function ID: S2-F34
Sprint: Sprint 2
Description: Editor can approve reviewed chapter</t>
  </si>
  <si>
    <t>[Editor Review] Send Revision to Mangaka</t>
  </si>
  <si>
    <t>Function ID: S2-F35
Sprint: Sprint 2
Description: Editor can request Mangaka revision</t>
  </si>
  <si>
    <t>[Editor Review] Review History</t>
  </si>
  <si>
    <t>Function ID: S2-F36
Sprint: Sprint 2
Description: System stores editor review history</t>
  </si>
  <si>
    <t>[Publishing] Publication Schedule</t>
  </si>
  <si>
    <t>Function ID: S3-F01
Sprint: Sprint 3
Description: Board can create publication schedule</t>
  </si>
  <si>
    <t>publishing</t>
  </si>
  <si>
    <t>[Publishing] Final Approval</t>
  </si>
  <si>
    <t>Function ID: S3-F02
Sprint: Sprint 3
Description: Board can final approve chapter</t>
  </si>
  <si>
    <t>[Publishing] Lock Final Version</t>
  </si>
  <si>
    <t>Function ID: S3-F03
Sprint: Sprint 3
Description: System locks final version after approval</t>
  </si>
  <si>
    <t>[Voting] Import Vote Data</t>
  </si>
  <si>
    <t>Function ID: S3-F04
Sprint: Sprint 3
Description: Board can import reader vote data</t>
  </si>
  <si>
    <t>voting</t>
  </si>
  <si>
    <t>[Voting] Validate Vote Data</t>
  </si>
  <si>
    <t>Function ID: S3-F05
Sprint: Sprint 3
Description: System validates vote data</t>
  </si>
  <si>
    <t>[Ranking] Calculate Ranking</t>
  </si>
  <si>
    <t>Function ID: S3-F06
Sprint: Sprint 3
Description: System calculates ranking by vote data</t>
  </si>
  <si>
    <t>ranking</t>
  </si>
  <si>
    <t>[Ranking] Ranking Dashboard</t>
  </si>
  <si>
    <t>Function ID: S3-F07
Sprint: Sprint 3
Description: User can view ranking dashboard</t>
  </si>
  <si>
    <t>[Ranking] Ranking History</t>
  </si>
  <si>
    <t>Function ID: S3-F08
Sprint: Sprint 3
Description: User can view ranking history by issue</t>
  </si>
  <si>
    <t>[Risk Decision] Risk Alert</t>
  </si>
  <si>
    <t>Function ID: S3-F09
Sprint: Sprint 3
Description: System creates alert when ranking is low</t>
  </si>
  <si>
    <t>risk-decision</t>
  </si>
  <si>
    <t>[Risk Decision] Risk Alert Detail</t>
  </si>
  <si>
    <t>Function ID: S3-F10
Sprint: Sprint 3
Description: Board can view detail of ranking risk</t>
  </si>
  <si>
    <t>[Risk Decision] Series Dossier</t>
  </si>
  <si>
    <t>Function ID: S3-F11
Sprint: Sprint 3
Description: Board can view series dossier before decision</t>
  </si>
  <si>
    <t>[Risk Decision] Board Decision</t>
  </si>
  <si>
    <t>Function ID: S3-F12
Sprint: Sprint 3
Description: Board can choose Continue, Cancel, or Change Schedule</t>
  </si>
  <si>
    <t>[Risk Decision] Update Series Status</t>
  </si>
  <si>
    <t>Function ID: S3-F13
Sprint: Sprint 3
Description: System updates series status after board decision</t>
  </si>
  <si>
    <t>[Testing] Full System Testing</t>
  </si>
  <si>
    <t>Function ID: S3-F14
Sprint: Sprint 3
Description: Team tests the full end-to-end workflow</t>
  </si>
  <si>
    <t>testing</t>
  </si>
  <si>
    <t>[Testing] Bug Fixing</t>
  </si>
  <si>
    <t>Function ID: S3-F15
Sprint: Sprint 3
Description: Team fixes critical bugs before final demo</t>
  </si>
  <si>
    <t>[Demo] Demo Data</t>
  </si>
  <si>
    <t>Function ID: S3-F16
Sprint: Sprint 3
Description: Prepare accounts, series, chapters, pages, tasks, submissions, ranking data</t>
  </si>
  <si>
    <t>demo</t>
  </si>
  <si>
    <t>[Documentation] Final Report / Slide</t>
  </si>
  <si>
    <t>Function ID: S3-F17
Sprint: Sprint 3
Description: Complete final report and presentation slide</t>
  </si>
  <si>
    <t>documentation</t>
  </si>
  <si>
    <t>Owner</t>
  </si>
  <si>
    <t>Code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</si>
</sst>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6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2" numFmtId="9" xfId="0" applyAlignment="1" applyFont="1" applyNumberFormat="1">
      <alignment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9" xfId="0" applyAlignment="1" applyFont="1" applyNumberFormat="1">
      <alignment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DCF8"/>
          <bgColor rgb="FFEADCF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6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Sprint Plan-style">
      <tableStyleElement dxfId="1" type="headerRow"/>
      <tableStyleElement dxfId="2" type="firstRowStripe"/>
      <tableStyleElement dxfId="3" type="secondRowStripe"/>
    </tableStyle>
    <tableStyle count="3" pivot="0" name="Backlog-style">
      <tableStyleElement dxfId="1" type="headerRow"/>
      <tableStyleElement dxfId="2" type="firstRowStripe"/>
      <tableStyleElement dxfId="3" type="secondRowStripe"/>
    </tableStyle>
    <tableStyle count="3" pivot="0" name="Functions by Sprint-style">
      <tableStyleElement dxfId="1" type="headerRow"/>
      <tableStyleElement dxfId="2" type="firstRowStripe"/>
      <tableStyleElement dxfId="3" type="secondRowStripe"/>
    </tableStyle>
    <tableStyle count="3" pivot="0" name="Members-style">
      <tableStyleElement dxfId="1" type="headerRow"/>
      <tableStyleElement dxfId="2" type="firstRowStripe"/>
      <tableStyleElement dxfId="3" type="secondRowStripe"/>
    </tableStyle>
    <tableStyle count="3" pivot="0" name="Jira Impo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2:E15" displayName="Table_1" name="Table_1" id="1">
  <tableColumns count="5">
    <tableColumn name="Sprint" id="1"/>
    <tableColumn name="Module / Function" id="2"/>
    <tableColumn name="Total Functions" id="3"/>
    <tableColumn name="Done" id="4"/>
    <tableColumn name="Completion" id="5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1:D4" displayName="Table_2" name="Table_2" id="2">
  <tableColumns count="4">
    <tableColumn name="Sprint" id="1"/>
    <tableColumn name="Module / Function" id="2"/>
    <tableColumn name="Included Functions" id="3"/>
    <tableColumn name="Demo Goal" id="4"/>
  </tableColumns>
  <tableStyleInfo name="Sprint Plan-style" showColumnStripes="0" showFirstColumn="1" showLastColumn="1" showRowStripes="1"/>
</table>
</file>

<file path=xl/tables/table3.xml><?xml version="1.0" encoding="utf-8"?>
<table xmlns="http://schemas.openxmlformats.org/spreadsheetml/2006/main" ref="A1:I73" displayName="Table_3" name="Table_3" id="3">
  <tableColumns count="9">
    <tableColumn name="Function ID" id="1"/>
    <tableColumn name="Sprint" id="2"/>
    <tableColumn name="Function" id="3"/>
    <tableColumn name="Description" id="4"/>
    <tableColumn name="Main Owner" id="5"/>
    <tableColumn name="Support" id="6"/>
    <tableColumn name="Priority" id="7"/>
    <tableColumn name="Status" id="8"/>
    <tableColumn name="Module" id="9"/>
  </tableColumns>
  <tableStyleInfo name="Backlog-style" showColumnStripes="0" showFirstColumn="1" showLastColumn="1" showRowStripes="1"/>
</table>
</file>

<file path=xl/tables/table4.xml><?xml version="1.0" encoding="utf-8"?>
<table xmlns="http://schemas.openxmlformats.org/spreadsheetml/2006/main" ref="A1:C4" displayName="Table_4" name="Table_4" id="4">
  <tableColumns count="3">
    <tableColumn name="Sprint" id="1"/>
    <tableColumn name="Module / Function" id="2"/>
    <tableColumn name="Functions" id="3"/>
  </tableColumns>
  <tableStyleInfo name="Functions by Sprint-style" showColumnStripes="0" showFirstColumn="1" showLastColumn="1" showRowStripes="1"/>
</table>
</file>

<file path=xl/tables/table5.xml><?xml version="1.0" encoding="utf-8"?>
<table xmlns="http://schemas.openxmlformats.org/spreadsheetml/2006/main" ref="A1:C5" displayName="Table_5" name="Table_5" id="5">
  <tableColumns count="3">
    <tableColumn name="Member" id="1"/>
    <tableColumn name="Suggested Role" id="2"/>
    <tableColumn name="Assigned Count" id="3"/>
  </tableColumns>
  <tableStyleInfo name="Members-style" showColumnStripes="0" showFirstColumn="1" showLastColumn="1" showRowStripes="1"/>
</table>
</file>

<file path=xl/tables/table6.xml><?xml version="1.0" encoding="utf-8"?>
<table xmlns="http://schemas.openxmlformats.org/spreadsheetml/2006/main" ref="A1:H73" displayName="Table_6" name="Table_6" id="6">
  <tableColumns count="8">
    <tableColumn name="Issue Type" id="1"/>
    <tableColumn name="Summary" id="2"/>
    <tableColumn name="Description" id="3"/>
    <tableColumn name="Assignee" id="4"/>
    <tableColumn name="Priority" id="5"/>
    <tableColumn name="Sprint" id="6"/>
    <tableColumn name="Epic Name" id="7"/>
    <tableColumn name="Labels" id="8"/>
  </tableColumns>
  <tableStyleInfo name="Jira Im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70.0"/>
    <col customWidth="1" min="3" max="3" width="8.63"/>
    <col customWidth="1" min="4" max="5" width="18.0"/>
    <col customWidth="1" min="6" max="26" width="8.63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2" t="s">
        <v>2</v>
      </c>
      <c r="C3" s="2"/>
      <c r="D3" s="4" t="s">
        <v>3</v>
      </c>
      <c r="E3" s="4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2" t="s">
        <v>6</v>
      </c>
      <c r="C4" s="2"/>
      <c r="D4" s="2" t="s">
        <v>7</v>
      </c>
      <c r="E4" s="2">
        <f>COUNTA(Backlog!A2:A200)</f>
        <v>72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2" t="s">
        <v>9</v>
      </c>
      <c r="C5" s="2"/>
      <c r="D5" s="2" t="s">
        <v>10</v>
      </c>
      <c r="E5" s="2">
        <f>COUNTIF(Backlog!H2:H200,"Done")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11</v>
      </c>
      <c r="B6" s="2">
        <v>3.0</v>
      </c>
      <c r="C6" s="2"/>
      <c r="D6" s="2" t="s">
        <v>12</v>
      </c>
      <c r="E6" s="2">
        <f>COUNTIF(Backlog!H2:H200,"In Progress")</f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13</v>
      </c>
      <c r="B7" s="2" t="s">
        <v>14</v>
      </c>
      <c r="C7" s="2"/>
      <c r="D7" s="2" t="s">
        <v>15</v>
      </c>
      <c r="E7" s="2">
        <f>COUNTIF(Backlog!H2:H200,"To Do")</f>
        <v>72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16</v>
      </c>
      <c r="B8" s="2" t="s">
        <v>17</v>
      </c>
      <c r="C8" s="2"/>
      <c r="D8" s="2" t="s">
        <v>18</v>
      </c>
      <c r="E8" s="5">
        <f>IF(E4=0,0,E5/E4)</f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19</v>
      </c>
      <c r="B9" s="2" t="s">
        <v>20</v>
      </c>
      <c r="C9" s="2"/>
      <c r="D9" s="2" t="s">
        <v>21</v>
      </c>
      <c r="E9" s="2">
        <f>COUNTBLANK(Backlog!E2:E200)-COUNTBLANK(Backlog!A2:A200)</f>
        <v>72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22</v>
      </c>
      <c r="B12" s="6" t="s">
        <v>23</v>
      </c>
      <c r="C12" s="6" t="s">
        <v>7</v>
      </c>
      <c r="D12" s="6" t="s">
        <v>10</v>
      </c>
      <c r="E12" s="6" t="s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24</v>
      </c>
      <c r="B13" s="7" t="s">
        <v>25</v>
      </c>
      <c r="C13" s="7">
        <f>COUNTIF(Backlog!B:B,A13)</f>
        <v>19</v>
      </c>
      <c r="D13" s="7">
        <f>COUNTIFS(Backlog!B:B,A13,Backlog!H:H,"Done")</f>
        <v>0</v>
      </c>
      <c r="E13" s="8">
        <f t="shared" ref="E13:E15" si="1">IF(C13=0,0,D13/C13)</f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26</v>
      </c>
      <c r="B14" s="7" t="s">
        <v>27</v>
      </c>
      <c r="C14" s="7">
        <f>COUNTIF(Backlog!B:B,A14)</f>
        <v>36</v>
      </c>
      <c r="D14" s="7">
        <f>COUNTIFS(Backlog!B:B,A14,Backlog!H:H,"Done")</f>
        <v>0</v>
      </c>
      <c r="E14" s="8">
        <f t="shared" si="1"/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28</v>
      </c>
      <c r="B15" s="7" t="s">
        <v>29</v>
      </c>
      <c r="C15" s="7">
        <f>COUNTIF(Backlog!B:B,A15)</f>
        <v>17</v>
      </c>
      <c r="D15" s="7">
        <f>COUNTIFS(Backlog!B:B,A15,Backlog!H:H,"Done")</f>
        <v>0</v>
      </c>
      <c r="E15" s="8">
        <f t="shared" si="1"/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42.0"/>
    <col customWidth="1" min="3" max="4" width="70.0"/>
    <col customWidth="1" min="5" max="26" width="8.63"/>
  </cols>
  <sheetData>
    <row r="1">
      <c r="A1" s="6" t="s">
        <v>22</v>
      </c>
      <c r="B1" s="6" t="s">
        <v>23</v>
      </c>
      <c r="C1" s="6" t="s">
        <v>30</v>
      </c>
      <c r="D1" s="6" t="s">
        <v>31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24</v>
      </c>
      <c r="B2" s="7" t="s">
        <v>25</v>
      </c>
      <c r="C2" s="7" t="s">
        <v>32</v>
      </c>
      <c r="D2" s="7" t="s">
        <v>33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26</v>
      </c>
      <c r="B3" s="7" t="s">
        <v>27</v>
      </c>
      <c r="C3" s="7" t="s">
        <v>34</v>
      </c>
      <c r="D3" s="7" t="s">
        <v>35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28</v>
      </c>
      <c r="B4" s="7" t="s">
        <v>29</v>
      </c>
      <c r="C4" s="7" t="s">
        <v>36</v>
      </c>
      <c r="D4" s="7" t="s">
        <v>37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2.0"/>
    <col customWidth="1" min="3" max="3" width="34.0"/>
    <col customWidth="1" min="4" max="4" width="58.0"/>
    <col customWidth="1" min="5" max="6" width="16.0"/>
    <col customWidth="1" min="7" max="8" width="14.0"/>
    <col customWidth="1" min="9" max="9" width="22.0"/>
    <col customWidth="1" min="10" max="26" width="8.63"/>
  </cols>
  <sheetData>
    <row r="1">
      <c r="A1" s="6" t="s">
        <v>38</v>
      </c>
      <c r="B1" s="6" t="s">
        <v>22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46</v>
      </c>
      <c r="B2" s="7" t="s">
        <v>24</v>
      </c>
      <c r="C2" s="7" t="s">
        <v>47</v>
      </c>
      <c r="D2" s="7" t="s">
        <v>48</v>
      </c>
      <c r="E2" s="7"/>
      <c r="F2" s="7"/>
      <c r="G2" s="7" t="s">
        <v>49</v>
      </c>
      <c r="H2" s="7" t="s">
        <v>15</v>
      </c>
      <c r="I2" s="7" t="s">
        <v>50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51</v>
      </c>
      <c r="B3" s="7" t="s">
        <v>24</v>
      </c>
      <c r="C3" s="7" t="s">
        <v>52</v>
      </c>
      <c r="D3" s="7" t="s">
        <v>53</v>
      </c>
      <c r="E3" s="7"/>
      <c r="F3" s="7"/>
      <c r="G3" s="7" t="s">
        <v>49</v>
      </c>
      <c r="H3" s="7" t="s">
        <v>15</v>
      </c>
      <c r="I3" s="7" t="s">
        <v>50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54</v>
      </c>
      <c r="B4" s="7" t="s">
        <v>24</v>
      </c>
      <c r="C4" s="7" t="s">
        <v>55</v>
      </c>
      <c r="D4" s="7" t="s">
        <v>56</v>
      </c>
      <c r="E4" s="7"/>
      <c r="F4" s="7"/>
      <c r="G4" s="7" t="s">
        <v>49</v>
      </c>
      <c r="H4" s="7" t="s">
        <v>15</v>
      </c>
      <c r="I4" s="7" t="s">
        <v>57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58</v>
      </c>
      <c r="B5" s="7" t="s">
        <v>24</v>
      </c>
      <c r="C5" s="7" t="s">
        <v>59</v>
      </c>
      <c r="D5" s="7" t="s">
        <v>60</v>
      </c>
      <c r="E5" s="7"/>
      <c r="F5" s="7"/>
      <c r="G5" s="7" t="s">
        <v>61</v>
      </c>
      <c r="H5" s="7" t="s">
        <v>15</v>
      </c>
      <c r="I5" s="7" t="s">
        <v>62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63</v>
      </c>
      <c r="B6" s="7" t="s">
        <v>24</v>
      </c>
      <c r="C6" s="7" t="s">
        <v>64</v>
      </c>
      <c r="D6" s="7" t="s">
        <v>65</v>
      </c>
      <c r="E6" s="7"/>
      <c r="F6" s="7"/>
      <c r="G6" s="7" t="s">
        <v>61</v>
      </c>
      <c r="H6" s="7" t="s">
        <v>15</v>
      </c>
      <c r="I6" s="7" t="s">
        <v>62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66</v>
      </c>
      <c r="B7" s="7" t="s">
        <v>24</v>
      </c>
      <c r="C7" s="7" t="s">
        <v>67</v>
      </c>
      <c r="D7" s="7" t="s">
        <v>68</v>
      </c>
      <c r="E7" s="7"/>
      <c r="F7" s="7"/>
      <c r="G7" s="7" t="s">
        <v>49</v>
      </c>
      <c r="H7" s="7" t="s">
        <v>15</v>
      </c>
      <c r="I7" s="7" t="s">
        <v>69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70</v>
      </c>
      <c r="B8" s="7" t="s">
        <v>24</v>
      </c>
      <c r="C8" s="7" t="s">
        <v>71</v>
      </c>
      <c r="D8" s="7" t="s">
        <v>72</v>
      </c>
      <c r="E8" s="7"/>
      <c r="F8" s="7"/>
      <c r="G8" s="7" t="s">
        <v>61</v>
      </c>
      <c r="H8" s="7" t="s">
        <v>15</v>
      </c>
      <c r="I8" s="7" t="s">
        <v>69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73</v>
      </c>
      <c r="B9" s="7" t="s">
        <v>24</v>
      </c>
      <c r="C9" s="7" t="s">
        <v>74</v>
      </c>
      <c r="D9" s="7" t="s">
        <v>75</v>
      </c>
      <c r="E9" s="7"/>
      <c r="F9" s="7"/>
      <c r="G9" s="7" t="s">
        <v>49</v>
      </c>
      <c r="H9" s="7" t="s">
        <v>15</v>
      </c>
      <c r="I9" s="7" t="s">
        <v>69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76</v>
      </c>
      <c r="B10" s="7" t="s">
        <v>24</v>
      </c>
      <c r="C10" s="7" t="s">
        <v>77</v>
      </c>
      <c r="D10" s="7" t="s">
        <v>78</v>
      </c>
      <c r="E10" s="7"/>
      <c r="F10" s="7"/>
      <c r="G10" s="7" t="s">
        <v>49</v>
      </c>
      <c r="H10" s="7" t="s">
        <v>15</v>
      </c>
      <c r="I10" s="7" t="s">
        <v>69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79</v>
      </c>
      <c r="B11" s="7" t="s">
        <v>24</v>
      </c>
      <c r="C11" s="7" t="s">
        <v>80</v>
      </c>
      <c r="D11" s="7" t="s">
        <v>81</v>
      </c>
      <c r="E11" s="7"/>
      <c r="F11" s="7"/>
      <c r="G11" s="7" t="s">
        <v>49</v>
      </c>
      <c r="H11" s="7" t="s">
        <v>15</v>
      </c>
      <c r="I11" s="7" t="s">
        <v>82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83</v>
      </c>
      <c r="B12" s="7" t="s">
        <v>24</v>
      </c>
      <c r="C12" s="7" t="s">
        <v>84</v>
      </c>
      <c r="D12" s="7" t="s">
        <v>85</v>
      </c>
      <c r="E12" s="7"/>
      <c r="F12" s="7"/>
      <c r="G12" s="7" t="s">
        <v>49</v>
      </c>
      <c r="H12" s="7" t="s">
        <v>15</v>
      </c>
      <c r="I12" s="7" t="s">
        <v>82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86</v>
      </c>
      <c r="B13" s="7" t="s">
        <v>24</v>
      </c>
      <c r="C13" s="7" t="s">
        <v>87</v>
      </c>
      <c r="D13" s="7" t="s">
        <v>88</v>
      </c>
      <c r="E13" s="7"/>
      <c r="F13" s="7"/>
      <c r="G13" s="7" t="s">
        <v>49</v>
      </c>
      <c r="H13" s="7" t="s">
        <v>15</v>
      </c>
      <c r="I13" s="7" t="s">
        <v>89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90</v>
      </c>
      <c r="B14" s="7" t="s">
        <v>24</v>
      </c>
      <c r="C14" s="7" t="s">
        <v>91</v>
      </c>
      <c r="D14" s="7" t="s">
        <v>92</v>
      </c>
      <c r="E14" s="7"/>
      <c r="F14" s="7"/>
      <c r="G14" s="7" t="s">
        <v>49</v>
      </c>
      <c r="H14" s="7" t="s">
        <v>15</v>
      </c>
      <c r="I14" s="7" t="s">
        <v>89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93</v>
      </c>
      <c r="B15" s="7" t="s">
        <v>24</v>
      </c>
      <c r="C15" s="7" t="s">
        <v>94</v>
      </c>
      <c r="D15" s="7" t="s">
        <v>95</v>
      </c>
      <c r="E15" s="7"/>
      <c r="F15" s="7"/>
      <c r="G15" s="7" t="s">
        <v>49</v>
      </c>
      <c r="H15" s="7" t="s">
        <v>15</v>
      </c>
      <c r="I15" s="7" t="s">
        <v>89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96</v>
      </c>
      <c r="B16" s="7" t="s">
        <v>24</v>
      </c>
      <c r="C16" s="7" t="s">
        <v>97</v>
      </c>
      <c r="D16" s="7" t="s">
        <v>98</v>
      </c>
      <c r="E16" s="7"/>
      <c r="F16" s="7"/>
      <c r="G16" s="7" t="s">
        <v>49</v>
      </c>
      <c r="H16" s="7" t="s">
        <v>15</v>
      </c>
      <c r="I16" s="7" t="s">
        <v>99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100</v>
      </c>
      <c r="B17" s="7" t="s">
        <v>24</v>
      </c>
      <c r="C17" s="7" t="s">
        <v>101</v>
      </c>
      <c r="D17" s="7" t="s">
        <v>102</v>
      </c>
      <c r="E17" s="7"/>
      <c r="F17" s="7"/>
      <c r="G17" s="7" t="s">
        <v>49</v>
      </c>
      <c r="H17" s="7" t="s">
        <v>15</v>
      </c>
      <c r="I17" s="7" t="s">
        <v>99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103</v>
      </c>
      <c r="B18" s="7" t="s">
        <v>24</v>
      </c>
      <c r="C18" s="7" t="s">
        <v>104</v>
      </c>
      <c r="D18" s="7" t="s">
        <v>105</v>
      </c>
      <c r="E18" s="7"/>
      <c r="F18" s="7"/>
      <c r="G18" s="7" t="s">
        <v>49</v>
      </c>
      <c r="H18" s="7" t="s">
        <v>15</v>
      </c>
      <c r="I18" s="7" t="s">
        <v>99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106</v>
      </c>
      <c r="B19" s="7" t="s">
        <v>24</v>
      </c>
      <c r="C19" s="7" t="s">
        <v>107</v>
      </c>
      <c r="D19" s="7" t="s">
        <v>108</v>
      </c>
      <c r="E19" s="7"/>
      <c r="F19" s="7"/>
      <c r="G19" s="7" t="s">
        <v>49</v>
      </c>
      <c r="H19" s="7" t="s">
        <v>15</v>
      </c>
      <c r="I19" s="7" t="s">
        <v>109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110</v>
      </c>
      <c r="B20" s="7" t="s">
        <v>24</v>
      </c>
      <c r="C20" s="7" t="s">
        <v>111</v>
      </c>
      <c r="D20" s="7" t="s">
        <v>112</v>
      </c>
      <c r="E20" s="7"/>
      <c r="F20" s="7"/>
      <c r="G20" s="7" t="s">
        <v>61</v>
      </c>
      <c r="H20" s="7" t="s">
        <v>15</v>
      </c>
      <c r="I20" s="7" t="s">
        <v>109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113</v>
      </c>
      <c r="B21" s="7" t="s">
        <v>26</v>
      </c>
      <c r="C21" s="7" t="s">
        <v>114</v>
      </c>
      <c r="D21" s="7" t="s">
        <v>115</v>
      </c>
      <c r="E21" s="7"/>
      <c r="F21" s="7"/>
      <c r="G21" s="7" t="s">
        <v>49</v>
      </c>
      <c r="H21" s="7" t="s">
        <v>15</v>
      </c>
      <c r="I21" s="7" t="s">
        <v>116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117</v>
      </c>
      <c r="B22" s="7" t="s">
        <v>26</v>
      </c>
      <c r="C22" s="7" t="s">
        <v>118</v>
      </c>
      <c r="D22" s="7" t="s">
        <v>119</v>
      </c>
      <c r="E22" s="7"/>
      <c r="F22" s="7"/>
      <c r="G22" s="7" t="s">
        <v>49</v>
      </c>
      <c r="H22" s="7" t="s">
        <v>15</v>
      </c>
      <c r="I22" s="7" t="s">
        <v>116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120</v>
      </c>
      <c r="B23" s="7" t="s">
        <v>26</v>
      </c>
      <c r="C23" s="7" t="s">
        <v>121</v>
      </c>
      <c r="D23" s="7" t="s">
        <v>122</v>
      </c>
      <c r="E23" s="7"/>
      <c r="F23" s="7"/>
      <c r="G23" s="7" t="s">
        <v>61</v>
      </c>
      <c r="H23" s="7" t="s">
        <v>15</v>
      </c>
      <c r="I23" s="7" t="s">
        <v>116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 t="s">
        <v>123</v>
      </c>
      <c r="B24" s="7" t="s">
        <v>26</v>
      </c>
      <c r="C24" s="7" t="s">
        <v>124</v>
      </c>
      <c r="D24" s="7" t="s">
        <v>125</v>
      </c>
      <c r="E24" s="7"/>
      <c r="F24" s="7"/>
      <c r="G24" s="7" t="s">
        <v>49</v>
      </c>
      <c r="H24" s="7" t="s">
        <v>15</v>
      </c>
      <c r="I24" s="7" t="s">
        <v>126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127</v>
      </c>
      <c r="B25" s="7" t="s">
        <v>26</v>
      </c>
      <c r="C25" s="7" t="s">
        <v>128</v>
      </c>
      <c r="D25" s="7" t="s">
        <v>129</v>
      </c>
      <c r="E25" s="7"/>
      <c r="F25" s="7"/>
      <c r="G25" s="7" t="s">
        <v>49</v>
      </c>
      <c r="H25" s="7" t="s">
        <v>15</v>
      </c>
      <c r="I25" s="7" t="s">
        <v>126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130</v>
      </c>
      <c r="B26" s="7" t="s">
        <v>26</v>
      </c>
      <c r="C26" s="7" t="s">
        <v>131</v>
      </c>
      <c r="D26" s="7" t="s">
        <v>132</v>
      </c>
      <c r="E26" s="7"/>
      <c r="F26" s="7"/>
      <c r="G26" s="7" t="s">
        <v>49</v>
      </c>
      <c r="H26" s="7" t="s">
        <v>15</v>
      </c>
      <c r="I26" s="7" t="s">
        <v>126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133</v>
      </c>
      <c r="B27" s="7" t="s">
        <v>26</v>
      </c>
      <c r="C27" s="7" t="s">
        <v>134</v>
      </c>
      <c r="D27" s="7" t="s">
        <v>135</v>
      </c>
      <c r="E27" s="7"/>
      <c r="F27" s="7"/>
      <c r="G27" s="7" t="s">
        <v>61</v>
      </c>
      <c r="H27" s="7" t="s">
        <v>15</v>
      </c>
      <c r="I27" s="7" t="s">
        <v>126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136</v>
      </c>
      <c r="B28" s="7" t="s">
        <v>26</v>
      </c>
      <c r="C28" s="7" t="s">
        <v>137</v>
      </c>
      <c r="D28" s="7" t="s">
        <v>138</v>
      </c>
      <c r="E28" s="7"/>
      <c r="F28" s="7"/>
      <c r="G28" s="7" t="s">
        <v>139</v>
      </c>
      <c r="H28" s="7" t="s">
        <v>15</v>
      </c>
      <c r="I28" s="7" t="s">
        <v>140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141</v>
      </c>
      <c r="B29" s="7" t="s">
        <v>26</v>
      </c>
      <c r="C29" s="7" t="s">
        <v>142</v>
      </c>
      <c r="D29" s="7" t="s">
        <v>143</v>
      </c>
      <c r="E29" s="7"/>
      <c r="F29" s="7"/>
      <c r="G29" s="7" t="s">
        <v>49</v>
      </c>
      <c r="H29" s="7" t="s">
        <v>15</v>
      </c>
      <c r="I29" s="7" t="s">
        <v>144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145</v>
      </c>
      <c r="B30" s="7" t="s">
        <v>26</v>
      </c>
      <c r="C30" s="7" t="s">
        <v>146</v>
      </c>
      <c r="D30" s="7" t="s">
        <v>147</v>
      </c>
      <c r="E30" s="7"/>
      <c r="F30" s="7"/>
      <c r="G30" s="7" t="s">
        <v>49</v>
      </c>
      <c r="H30" s="7" t="s">
        <v>15</v>
      </c>
      <c r="I30" s="7" t="s">
        <v>144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148</v>
      </c>
      <c r="B31" s="7" t="s">
        <v>26</v>
      </c>
      <c r="C31" s="7" t="s">
        <v>149</v>
      </c>
      <c r="D31" s="7" t="s">
        <v>150</v>
      </c>
      <c r="E31" s="7"/>
      <c r="F31" s="7"/>
      <c r="G31" s="7" t="s">
        <v>49</v>
      </c>
      <c r="H31" s="7" t="s">
        <v>15</v>
      </c>
      <c r="I31" s="7" t="s">
        <v>144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151</v>
      </c>
      <c r="B32" s="7" t="s">
        <v>26</v>
      </c>
      <c r="C32" s="7" t="s">
        <v>152</v>
      </c>
      <c r="D32" s="7" t="s">
        <v>153</v>
      </c>
      <c r="E32" s="7"/>
      <c r="F32" s="7"/>
      <c r="G32" s="7" t="s">
        <v>61</v>
      </c>
      <c r="H32" s="7" t="s">
        <v>15</v>
      </c>
      <c r="I32" s="7" t="s">
        <v>144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154</v>
      </c>
      <c r="B33" s="7" t="s">
        <v>26</v>
      </c>
      <c r="C33" s="7" t="s">
        <v>155</v>
      </c>
      <c r="D33" s="7" t="s">
        <v>156</v>
      </c>
      <c r="E33" s="7"/>
      <c r="F33" s="7"/>
      <c r="G33" s="7" t="s">
        <v>49</v>
      </c>
      <c r="H33" s="7" t="s">
        <v>15</v>
      </c>
      <c r="I33" s="7" t="s">
        <v>144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157</v>
      </c>
      <c r="B34" s="7" t="s">
        <v>26</v>
      </c>
      <c r="C34" s="7" t="s">
        <v>158</v>
      </c>
      <c r="D34" s="7" t="s">
        <v>159</v>
      </c>
      <c r="E34" s="7"/>
      <c r="F34" s="7"/>
      <c r="G34" s="7" t="s">
        <v>49</v>
      </c>
      <c r="H34" s="7" t="s">
        <v>15</v>
      </c>
      <c r="I34" s="7" t="s">
        <v>144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160</v>
      </c>
      <c r="B35" s="7" t="s">
        <v>26</v>
      </c>
      <c r="C35" s="7" t="s">
        <v>161</v>
      </c>
      <c r="D35" s="7" t="s">
        <v>162</v>
      </c>
      <c r="E35" s="7"/>
      <c r="F35" s="7"/>
      <c r="G35" s="7" t="s">
        <v>61</v>
      </c>
      <c r="H35" s="7" t="s">
        <v>15</v>
      </c>
      <c r="I35" s="7" t="s">
        <v>163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164</v>
      </c>
      <c r="B36" s="7" t="s">
        <v>26</v>
      </c>
      <c r="C36" s="7" t="s">
        <v>165</v>
      </c>
      <c r="D36" s="7" t="s">
        <v>166</v>
      </c>
      <c r="E36" s="7"/>
      <c r="F36" s="7"/>
      <c r="G36" s="7" t="s">
        <v>49</v>
      </c>
      <c r="H36" s="7" t="s">
        <v>15</v>
      </c>
      <c r="I36" s="7" t="s">
        <v>167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 t="s">
        <v>168</v>
      </c>
      <c r="B37" s="7" t="s">
        <v>26</v>
      </c>
      <c r="C37" s="7" t="s">
        <v>169</v>
      </c>
      <c r="D37" s="7" t="s">
        <v>170</v>
      </c>
      <c r="E37" s="7"/>
      <c r="F37" s="7"/>
      <c r="G37" s="7" t="s">
        <v>49</v>
      </c>
      <c r="H37" s="7" t="s">
        <v>15</v>
      </c>
      <c r="I37" s="7" t="s">
        <v>167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171</v>
      </c>
      <c r="B38" s="7" t="s">
        <v>26</v>
      </c>
      <c r="C38" s="7" t="s">
        <v>172</v>
      </c>
      <c r="D38" s="7" t="s">
        <v>173</v>
      </c>
      <c r="E38" s="7"/>
      <c r="F38" s="7"/>
      <c r="G38" s="7" t="s">
        <v>61</v>
      </c>
      <c r="H38" s="7" t="s">
        <v>15</v>
      </c>
      <c r="I38" s="7" t="s">
        <v>167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174</v>
      </c>
      <c r="B39" s="7" t="s">
        <v>26</v>
      </c>
      <c r="C39" s="7" t="s">
        <v>175</v>
      </c>
      <c r="D39" s="7" t="s">
        <v>176</v>
      </c>
      <c r="E39" s="7"/>
      <c r="F39" s="7"/>
      <c r="G39" s="7" t="s">
        <v>49</v>
      </c>
      <c r="H39" s="7" t="s">
        <v>15</v>
      </c>
      <c r="I39" s="7" t="s">
        <v>167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177</v>
      </c>
      <c r="B40" s="7" t="s">
        <v>26</v>
      </c>
      <c r="C40" s="7" t="s">
        <v>178</v>
      </c>
      <c r="D40" s="7" t="s">
        <v>179</v>
      </c>
      <c r="E40" s="7"/>
      <c r="F40" s="7"/>
      <c r="G40" s="7" t="s">
        <v>61</v>
      </c>
      <c r="H40" s="7" t="s">
        <v>15</v>
      </c>
      <c r="I40" s="7" t="s">
        <v>167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180</v>
      </c>
      <c r="B41" s="7" t="s">
        <v>26</v>
      </c>
      <c r="C41" s="7" t="s">
        <v>181</v>
      </c>
      <c r="D41" s="7" t="s">
        <v>182</v>
      </c>
      <c r="E41" s="7"/>
      <c r="F41" s="7"/>
      <c r="G41" s="7" t="s">
        <v>61</v>
      </c>
      <c r="H41" s="7" t="s">
        <v>15</v>
      </c>
      <c r="I41" s="7" t="s">
        <v>167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183</v>
      </c>
      <c r="B42" s="7" t="s">
        <v>26</v>
      </c>
      <c r="C42" s="7" t="s">
        <v>184</v>
      </c>
      <c r="D42" s="7" t="s">
        <v>185</v>
      </c>
      <c r="E42" s="7"/>
      <c r="F42" s="7"/>
      <c r="G42" s="7" t="s">
        <v>61</v>
      </c>
      <c r="H42" s="7" t="s">
        <v>15</v>
      </c>
      <c r="I42" s="7" t="s">
        <v>163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186</v>
      </c>
      <c r="B43" s="7" t="s">
        <v>26</v>
      </c>
      <c r="C43" s="7" t="s">
        <v>187</v>
      </c>
      <c r="D43" s="7" t="s">
        <v>188</v>
      </c>
      <c r="E43" s="7"/>
      <c r="F43" s="7"/>
      <c r="G43" s="7" t="s">
        <v>49</v>
      </c>
      <c r="H43" s="7" t="s">
        <v>15</v>
      </c>
      <c r="I43" s="7" t="s">
        <v>189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190</v>
      </c>
      <c r="B44" s="7" t="s">
        <v>26</v>
      </c>
      <c r="C44" s="7" t="s">
        <v>191</v>
      </c>
      <c r="D44" s="7" t="s">
        <v>192</v>
      </c>
      <c r="E44" s="7"/>
      <c r="F44" s="7"/>
      <c r="G44" s="7" t="s">
        <v>49</v>
      </c>
      <c r="H44" s="7" t="s">
        <v>15</v>
      </c>
      <c r="I44" s="7" t="s">
        <v>189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193</v>
      </c>
      <c r="B45" s="7" t="s">
        <v>26</v>
      </c>
      <c r="C45" s="7" t="s">
        <v>194</v>
      </c>
      <c r="D45" s="7" t="s">
        <v>195</v>
      </c>
      <c r="E45" s="7"/>
      <c r="F45" s="7"/>
      <c r="G45" s="7" t="s">
        <v>61</v>
      </c>
      <c r="H45" s="7" t="s">
        <v>15</v>
      </c>
      <c r="I45" s="7" t="s">
        <v>189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196</v>
      </c>
      <c r="B46" s="7" t="s">
        <v>26</v>
      </c>
      <c r="C46" s="7" t="s">
        <v>197</v>
      </c>
      <c r="D46" s="7" t="s">
        <v>198</v>
      </c>
      <c r="E46" s="7"/>
      <c r="F46" s="7"/>
      <c r="G46" s="7" t="s">
        <v>49</v>
      </c>
      <c r="H46" s="7" t="s">
        <v>15</v>
      </c>
      <c r="I46" s="7" t="s">
        <v>189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199</v>
      </c>
      <c r="B47" s="7" t="s">
        <v>26</v>
      </c>
      <c r="C47" s="7" t="s">
        <v>200</v>
      </c>
      <c r="D47" s="7" t="s">
        <v>201</v>
      </c>
      <c r="E47" s="7"/>
      <c r="F47" s="7"/>
      <c r="G47" s="7" t="s">
        <v>49</v>
      </c>
      <c r="H47" s="7" t="s">
        <v>15</v>
      </c>
      <c r="I47" s="7" t="s">
        <v>189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202</v>
      </c>
      <c r="B48" s="7" t="s">
        <v>26</v>
      </c>
      <c r="C48" s="7" t="s">
        <v>203</v>
      </c>
      <c r="D48" s="7" t="s">
        <v>204</v>
      </c>
      <c r="E48" s="7"/>
      <c r="F48" s="7"/>
      <c r="G48" s="7" t="s">
        <v>49</v>
      </c>
      <c r="H48" s="7" t="s">
        <v>15</v>
      </c>
      <c r="I48" s="7" t="s">
        <v>189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205</v>
      </c>
      <c r="B49" s="7" t="s">
        <v>26</v>
      </c>
      <c r="C49" s="7" t="s">
        <v>206</v>
      </c>
      <c r="D49" s="7" t="s">
        <v>207</v>
      </c>
      <c r="E49" s="7"/>
      <c r="F49" s="7"/>
      <c r="G49" s="7" t="s">
        <v>49</v>
      </c>
      <c r="H49" s="7" t="s">
        <v>15</v>
      </c>
      <c r="I49" s="7" t="s">
        <v>208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209</v>
      </c>
      <c r="B50" s="7" t="s">
        <v>26</v>
      </c>
      <c r="C50" s="7" t="s">
        <v>210</v>
      </c>
      <c r="D50" s="7" t="s">
        <v>211</v>
      </c>
      <c r="E50" s="7"/>
      <c r="F50" s="7"/>
      <c r="G50" s="7" t="s">
        <v>49</v>
      </c>
      <c r="H50" s="7" t="s">
        <v>15</v>
      </c>
      <c r="I50" s="7" t="s">
        <v>212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213</v>
      </c>
      <c r="B51" s="7" t="s">
        <v>26</v>
      </c>
      <c r="C51" s="7" t="s">
        <v>214</v>
      </c>
      <c r="D51" s="7" t="s">
        <v>215</v>
      </c>
      <c r="E51" s="7"/>
      <c r="F51" s="7"/>
      <c r="G51" s="7" t="s">
        <v>49</v>
      </c>
      <c r="H51" s="7" t="s">
        <v>15</v>
      </c>
      <c r="I51" s="7" t="s">
        <v>212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216</v>
      </c>
      <c r="B52" s="7" t="s">
        <v>26</v>
      </c>
      <c r="C52" s="7" t="s">
        <v>217</v>
      </c>
      <c r="D52" s="7" t="s">
        <v>218</v>
      </c>
      <c r="E52" s="7"/>
      <c r="F52" s="7"/>
      <c r="G52" s="7" t="s">
        <v>49</v>
      </c>
      <c r="H52" s="7" t="s">
        <v>15</v>
      </c>
      <c r="I52" s="7" t="s">
        <v>219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220</v>
      </c>
      <c r="B53" s="7" t="s">
        <v>26</v>
      </c>
      <c r="C53" s="7" t="s">
        <v>221</v>
      </c>
      <c r="D53" s="7" t="s">
        <v>222</v>
      </c>
      <c r="E53" s="7"/>
      <c r="F53" s="7"/>
      <c r="G53" s="7" t="s">
        <v>61</v>
      </c>
      <c r="H53" s="7" t="s">
        <v>15</v>
      </c>
      <c r="I53" s="7" t="s">
        <v>219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223</v>
      </c>
      <c r="B54" s="7" t="s">
        <v>26</v>
      </c>
      <c r="C54" s="7" t="s">
        <v>224</v>
      </c>
      <c r="D54" s="7" t="s">
        <v>225</v>
      </c>
      <c r="E54" s="7"/>
      <c r="F54" s="7"/>
      <c r="G54" s="7" t="s">
        <v>49</v>
      </c>
      <c r="H54" s="7" t="s">
        <v>15</v>
      </c>
      <c r="I54" s="7" t="s">
        <v>212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226</v>
      </c>
      <c r="B55" s="7" t="s">
        <v>26</v>
      </c>
      <c r="C55" s="7" t="s">
        <v>227</v>
      </c>
      <c r="D55" s="7" t="s">
        <v>228</v>
      </c>
      <c r="E55" s="7"/>
      <c r="F55" s="7"/>
      <c r="G55" s="7" t="s">
        <v>49</v>
      </c>
      <c r="H55" s="7" t="s">
        <v>15</v>
      </c>
      <c r="I55" s="7" t="s">
        <v>212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 t="s">
        <v>229</v>
      </c>
      <c r="B56" s="7" t="s">
        <v>26</v>
      </c>
      <c r="C56" s="7" t="s">
        <v>230</v>
      </c>
      <c r="D56" s="7" t="s">
        <v>231</v>
      </c>
      <c r="E56" s="7"/>
      <c r="F56" s="7"/>
      <c r="G56" s="7" t="s">
        <v>61</v>
      </c>
      <c r="H56" s="7" t="s">
        <v>15</v>
      </c>
      <c r="I56" s="7" t="s">
        <v>212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 t="s">
        <v>232</v>
      </c>
      <c r="B57" s="7" t="s">
        <v>28</v>
      </c>
      <c r="C57" s="7" t="s">
        <v>233</v>
      </c>
      <c r="D57" s="7" t="s">
        <v>234</v>
      </c>
      <c r="E57" s="7"/>
      <c r="F57" s="7"/>
      <c r="G57" s="7" t="s">
        <v>61</v>
      </c>
      <c r="H57" s="7" t="s">
        <v>15</v>
      </c>
      <c r="I57" s="7" t="s">
        <v>235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236</v>
      </c>
      <c r="B58" s="7" t="s">
        <v>28</v>
      </c>
      <c r="C58" s="7" t="s">
        <v>237</v>
      </c>
      <c r="D58" s="7" t="s">
        <v>238</v>
      </c>
      <c r="E58" s="7"/>
      <c r="F58" s="7"/>
      <c r="G58" s="7" t="s">
        <v>61</v>
      </c>
      <c r="H58" s="7" t="s">
        <v>15</v>
      </c>
      <c r="I58" s="7" t="s">
        <v>235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 t="s">
        <v>239</v>
      </c>
      <c r="B59" s="7" t="s">
        <v>28</v>
      </c>
      <c r="C59" s="7" t="s">
        <v>240</v>
      </c>
      <c r="D59" s="7" t="s">
        <v>241</v>
      </c>
      <c r="E59" s="7"/>
      <c r="F59" s="7"/>
      <c r="G59" s="7" t="s">
        <v>61</v>
      </c>
      <c r="H59" s="7" t="s">
        <v>15</v>
      </c>
      <c r="I59" s="7" t="s">
        <v>235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 t="s">
        <v>242</v>
      </c>
      <c r="B60" s="7" t="s">
        <v>28</v>
      </c>
      <c r="C60" s="7" t="s">
        <v>243</v>
      </c>
      <c r="D60" s="7" t="s">
        <v>244</v>
      </c>
      <c r="E60" s="7"/>
      <c r="F60" s="7"/>
      <c r="G60" s="7" t="s">
        <v>61</v>
      </c>
      <c r="H60" s="7" t="s">
        <v>15</v>
      </c>
      <c r="I60" s="7" t="s">
        <v>245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 t="s">
        <v>246</v>
      </c>
      <c r="B61" s="7" t="s">
        <v>28</v>
      </c>
      <c r="C61" s="7" t="s">
        <v>247</v>
      </c>
      <c r="D61" s="7" t="s">
        <v>248</v>
      </c>
      <c r="E61" s="7"/>
      <c r="F61" s="7"/>
      <c r="G61" s="7" t="s">
        <v>61</v>
      </c>
      <c r="H61" s="7" t="s">
        <v>15</v>
      </c>
      <c r="I61" s="7" t="s">
        <v>245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 t="s">
        <v>249</v>
      </c>
      <c r="B62" s="7" t="s">
        <v>28</v>
      </c>
      <c r="C62" s="7" t="s">
        <v>250</v>
      </c>
      <c r="D62" s="7" t="s">
        <v>251</v>
      </c>
      <c r="E62" s="7"/>
      <c r="F62" s="7"/>
      <c r="G62" s="7" t="s">
        <v>61</v>
      </c>
      <c r="H62" s="7" t="s">
        <v>15</v>
      </c>
      <c r="I62" s="7" t="s">
        <v>252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 t="s">
        <v>253</v>
      </c>
      <c r="B63" s="7" t="s">
        <v>28</v>
      </c>
      <c r="C63" s="7" t="s">
        <v>254</v>
      </c>
      <c r="D63" s="7" t="s">
        <v>255</v>
      </c>
      <c r="E63" s="7"/>
      <c r="F63" s="7"/>
      <c r="G63" s="7" t="s">
        <v>61</v>
      </c>
      <c r="H63" s="7" t="s">
        <v>15</v>
      </c>
      <c r="I63" s="7" t="s">
        <v>252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256</v>
      </c>
      <c r="B64" s="7" t="s">
        <v>28</v>
      </c>
      <c r="C64" s="7" t="s">
        <v>257</v>
      </c>
      <c r="D64" s="7" t="s">
        <v>258</v>
      </c>
      <c r="E64" s="7"/>
      <c r="F64" s="7"/>
      <c r="G64" s="7" t="s">
        <v>139</v>
      </c>
      <c r="H64" s="7" t="s">
        <v>15</v>
      </c>
      <c r="I64" s="7" t="s">
        <v>252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 t="s">
        <v>259</v>
      </c>
      <c r="B65" s="7" t="s">
        <v>28</v>
      </c>
      <c r="C65" s="7" t="s">
        <v>260</v>
      </c>
      <c r="D65" s="7" t="s">
        <v>261</v>
      </c>
      <c r="E65" s="7"/>
      <c r="F65" s="7"/>
      <c r="G65" s="7" t="s">
        <v>61</v>
      </c>
      <c r="H65" s="7" t="s">
        <v>15</v>
      </c>
      <c r="I65" s="7" t="s">
        <v>262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263</v>
      </c>
      <c r="B66" s="7" t="s">
        <v>28</v>
      </c>
      <c r="C66" s="7" t="s">
        <v>264</v>
      </c>
      <c r="D66" s="7" t="s">
        <v>265</v>
      </c>
      <c r="E66" s="7"/>
      <c r="F66" s="7"/>
      <c r="G66" s="7" t="s">
        <v>61</v>
      </c>
      <c r="H66" s="7" t="s">
        <v>15</v>
      </c>
      <c r="I66" s="7" t="s">
        <v>262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266</v>
      </c>
      <c r="B67" s="7" t="s">
        <v>28</v>
      </c>
      <c r="C67" s="7" t="s">
        <v>267</v>
      </c>
      <c r="D67" s="7" t="s">
        <v>268</v>
      </c>
      <c r="E67" s="7"/>
      <c r="F67" s="7"/>
      <c r="G67" s="7" t="s">
        <v>61</v>
      </c>
      <c r="H67" s="7" t="s">
        <v>15</v>
      </c>
      <c r="I67" s="7" t="s">
        <v>262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 t="s">
        <v>269</v>
      </c>
      <c r="B68" s="7" t="s">
        <v>28</v>
      </c>
      <c r="C68" s="7" t="s">
        <v>270</v>
      </c>
      <c r="D68" s="7" t="s">
        <v>271</v>
      </c>
      <c r="E68" s="7"/>
      <c r="F68" s="7"/>
      <c r="G68" s="7" t="s">
        <v>61</v>
      </c>
      <c r="H68" s="7" t="s">
        <v>15</v>
      </c>
      <c r="I68" s="7" t="s">
        <v>262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 t="s">
        <v>272</v>
      </c>
      <c r="B69" s="7" t="s">
        <v>28</v>
      </c>
      <c r="C69" s="7" t="s">
        <v>273</v>
      </c>
      <c r="D69" s="7" t="s">
        <v>274</v>
      </c>
      <c r="E69" s="7"/>
      <c r="F69" s="7"/>
      <c r="G69" s="7" t="s">
        <v>61</v>
      </c>
      <c r="H69" s="7" t="s">
        <v>15</v>
      </c>
      <c r="I69" s="7" t="s">
        <v>262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 t="s">
        <v>275</v>
      </c>
      <c r="B70" s="7" t="s">
        <v>28</v>
      </c>
      <c r="C70" s="7" t="s">
        <v>276</v>
      </c>
      <c r="D70" s="7" t="s">
        <v>277</v>
      </c>
      <c r="E70" s="7"/>
      <c r="F70" s="7"/>
      <c r="G70" s="7" t="s">
        <v>49</v>
      </c>
      <c r="H70" s="7" t="s">
        <v>15</v>
      </c>
      <c r="I70" s="7" t="s">
        <v>278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 t="s">
        <v>279</v>
      </c>
      <c r="B71" s="7" t="s">
        <v>28</v>
      </c>
      <c r="C71" s="7" t="s">
        <v>280</v>
      </c>
      <c r="D71" s="7" t="s">
        <v>281</v>
      </c>
      <c r="E71" s="7"/>
      <c r="F71" s="7"/>
      <c r="G71" s="7" t="s">
        <v>49</v>
      </c>
      <c r="H71" s="7" t="s">
        <v>15</v>
      </c>
      <c r="I71" s="7" t="s">
        <v>278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 t="s">
        <v>282</v>
      </c>
      <c r="B72" s="7" t="s">
        <v>28</v>
      </c>
      <c r="C72" s="7" t="s">
        <v>283</v>
      </c>
      <c r="D72" s="7" t="s">
        <v>284</v>
      </c>
      <c r="E72" s="7"/>
      <c r="F72" s="7"/>
      <c r="G72" s="7" t="s">
        <v>49</v>
      </c>
      <c r="H72" s="7" t="s">
        <v>15</v>
      </c>
      <c r="I72" s="7" t="s">
        <v>285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 t="s">
        <v>286</v>
      </c>
      <c r="B73" s="7" t="s">
        <v>28</v>
      </c>
      <c r="C73" s="7" t="s">
        <v>287</v>
      </c>
      <c r="D73" s="7" t="s">
        <v>288</v>
      </c>
      <c r="E73" s="7"/>
      <c r="F73" s="7"/>
      <c r="G73" s="7" t="s">
        <v>49</v>
      </c>
      <c r="H73" s="7" t="s">
        <v>15</v>
      </c>
      <c r="I73" s="7" t="s">
        <v>289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73">
    <cfRule type="expression" dxfId="4" priority="1">
      <formula>H2="Done"</formula>
    </cfRule>
  </conditionalFormatting>
  <conditionalFormatting sqref="H2:H73">
    <cfRule type="expression" dxfId="5" priority="2">
      <formula>H2="In Progress"</formula>
    </cfRule>
  </conditionalFormatting>
  <conditionalFormatting sqref="H2:H73">
    <cfRule type="expression" dxfId="6" priority="3">
      <formula>H2="Testing"</formula>
    </cfRule>
  </conditionalFormatting>
  <conditionalFormatting sqref="H2:H73">
    <cfRule type="expression" dxfId="7" priority="4">
      <formula>H2="Code Review"</formula>
    </cfRule>
  </conditionalFormatting>
  <conditionalFormatting sqref="G2:G73">
    <cfRule type="expression" dxfId="8" priority="5">
      <formula>G2="High"</formula>
    </cfRule>
  </conditionalFormatting>
  <conditionalFormatting sqref="G2:G73">
    <cfRule type="expression" dxfId="6" priority="6">
      <formula>G2="Medium"</formula>
    </cfRule>
  </conditionalFormatting>
  <conditionalFormatting sqref="G2:G73">
    <cfRule type="expression" dxfId="4" priority="7">
      <formula>G2="Low"</formula>
    </cfRule>
  </conditionalFormatting>
  <dataValidations>
    <dataValidation type="list" allowBlank="1" sqref="E2:F73">
      <formula1>"Hiền,Hào,Dũng,Phát"</formula1>
    </dataValidation>
    <dataValidation type="list" allowBlank="1" sqref="G2:G73">
      <formula1>"High,Medium,Low"</formula1>
    </dataValidation>
    <dataValidation type="list" allowBlank="1" sqref="B2:B73">
      <formula1>"Sprint 1,Sprint 2,Sprint 3"</formula1>
    </dataValidation>
    <dataValidation type="list" allowBlank="1" sqref="H2:H73">
      <formula1>"To Do,In Progress,Code Review,Testing,Done"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42.0"/>
    <col customWidth="1" min="3" max="3" width="80.0"/>
    <col customWidth="1" min="4" max="26" width="8.63"/>
  </cols>
  <sheetData>
    <row r="1">
      <c r="A1" s="6" t="s">
        <v>22</v>
      </c>
      <c r="B1" s="6" t="s">
        <v>23</v>
      </c>
      <c r="C1" s="6" t="s">
        <v>290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24</v>
      </c>
      <c r="B2" s="7" t="s">
        <v>25</v>
      </c>
      <c r="C2" s="7" t="s">
        <v>291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26</v>
      </c>
      <c r="B3" s="7" t="s">
        <v>27</v>
      </c>
      <c r="C3" s="7" t="s">
        <v>292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28</v>
      </c>
      <c r="B4" s="7" t="s">
        <v>29</v>
      </c>
      <c r="C4" s="7" t="s">
        <v>293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4.0"/>
    <col customWidth="1" min="3" max="3" width="16.0"/>
    <col customWidth="1" min="4" max="26" width="8.63"/>
  </cols>
  <sheetData>
    <row r="1">
      <c r="A1" s="6" t="s">
        <v>294</v>
      </c>
      <c r="B1" s="6" t="s">
        <v>295</v>
      </c>
      <c r="C1" s="6" t="s">
        <v>296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297</v>
      </c>
      <c r="B2" s="7" t="s">
        <v>298</v>
      </c>
      <c r="C2" s="7">
        <f>COUNTIF(Backlog!E:E,A2)+COUNTIF(Backlog!F:F,A2)</f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299</v>
      </c>
      <c r="B3" s="7" t="s">
        <v>300</v>
      </c>
      <c r="C3" s="7">
        <f>COUNTIF(Backlog!E:E,A3)+COUNTIF(Backlog!F:F,A3)</f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301</v>
      </c>
      <c r="B4" s="7" t="s">
        <v>302</v>
      </c>
      <c r="C4" s="7">
        <f>COUNTIF(Backlog!E:E,A4)+COUNTIF(Backlog!F:F,A4)</f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303</v>
      </c>
      <c r="B5" s="7" t="s">
        <v>304</v>
      </c>
      <c r="C5" s="7">
        <f>COUNTIF(Backlog!E:E,A5)+COUNTIF(Backlog!F:F,A5)</f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50.0"/>
    <col customWidth="1" min="4" max="8" width="18.0"/>
    <col customWidth="1" min="9" max="26" width="8.63"/>
  </cols>
  <sheetData>
    <row r="1">
      <c r="A1" s="6" t="s">
        <v>305</v>
      </c>
      <c r="B1" s="6" t="s">
        <v>306</v>
      </c>
      <c r="C1" s="6" t="s">
        <v>40</v>
      </c>
      <c r="D1" s="6" t="s">
        <v>307</v>
      </c>
      <c r="E1" s="6" t="s">
        <v>43</v>
      </c>
      <c r="F1" s="6" t="s">
        <v>22</v>
      </c>
      <c r="G1" s="6" t="s">
        <v>308</v>
      </c>
      <c r="H1" s="6" t="s">
        <v>309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310</v>
      </c>
      <c r="B2" s="7" t="s">
        <v>311</v>
      </c>
      <c r="C2" s="7" t="s">
        <v>312</v>
      </c>
      <c r="D2" s="7"/>
      <c r="E2" s="7" t="s">
        <v>49</v>
      </c>
      <c r="F2" s="7" t="s">
        <v>24</v>
      </c>
      <c r="G2" s="7" t="s">
        <v>50</v>
      </c>
      <c r="H2" s="7" t="s">
        <v>313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310</v>
      </c>
      <c r="B3" s="7" t="s">
        <v>314</v>
      </c>
      <c r="C3" s="7" t="s">
        <v>315</v>
      </c>
      <c r="D3" s="7"/>
      <c r="E3" s="7" t="s">
        <v>49</v>
      </c>
      <c r="F3" s="7" t="s">
        <v>24</v>
      </c>
      <c r="G3" s="7" t="s">
        <v>50</v>
      </c>
      <c r="H3" s="7" t="s">
        <v>313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310</v>
      </c>
      <c r="B4" s="7" t="s">
        <v>316</v>
      </c>
      <c r="C4" s="7" t="s">
        <v>317</v>
      </c>
      <c r="D4" s="7"/>
      <c r="E4" s="7" t="s">
        <v>49</v>
      </c>
      <c r="F4" s="7" t="s">
        <v>24</v>
      </c>
      <c r="G4" s="7" t="s">
        <v>57</v>
      </c>
      <c r="H4" s="7" t="s">
        <v>318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310</v>
      </c>
      <c r="B5" s="7" t="s">
        <v>319</v>
      </c>
      <c r="C5" s="7" t="s">
        <v>320</v>
      </c>
      <c r="D5" s="7"/>
      <c r="E5" s="7" t="s">
        <v>61</v>
      </c>
      <c r="F5" s="7" t="s">
        <v>24</v>
      </c>
      <c r="G5" s="7" t="s">
        <v>62</v>
      </c>
      <c r="H5" s="7" t="s">
        <v>321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310</v>
      </c>
      <c r="B6" s="7" t="s">
        <v>322</v>
      </c>
      <c r="C6" s="7" t="s">
        <v>323</v>
      </c>
      <c r="D6" s="7"/>
      <c r="E6" s="7" t="s">
        <v>61</v>
      </c>
      <c r="F6" s="7" t="s">
        <v>24</v>
      </c>
      <c r="G6" s="7" t="s">
        <v>62</v>
      </c>
      <c r="H6" s="7" t="s">
        <v>321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310</v>
      </c>
      <c r="B7" s="7" t="s">
        <v>324</v>
      </c>
      <c r="C7" s="7" t="s">
        <v>325</v>
      </c>
      <c r="D7" s="7"/>
      <c r="E7" s="7" t="s">
        <v>49</v>
      </c>
      <c r="F7" s="7" t="s">
        <v>24</v>
      </c>
      <c r="G7" s="7" t="s">
        <v>69</v>
      </c>
      <c r="H7" s="7" t="s">
        <v>326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310</v>
      </c>
      <c r="B8" s="7" t="s">
        <v>327</v>
      </c>
      <c r="C8" s="7" t="s">
        <v>328</v>
      </c>
      <c r="D8" s="7"/>
      <c r="E8" s="7" t="s">
        <v>61</v>
      </c>
      <c r="F8" s="7" t="s">
        <v>24</v>
      </c>
      <c r="G8" s="7" t="s">
        <v>69</v>
      </c>
      <c r="H8" s="7" t="s">
        <v>326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310</v>
      </c>
      <c r="B9" s="7" t="s">
        <v>329</v>
      </c>
      <c r="C9" s="7" t="s">
        <v>330</v>
      </c>
      <c r="D9" s="7"/>
      <c r="E9" s="7" t="s">
        <v>49</v>
      </c>
      <c r="F9" s="7" t="s">
        <v>24</v>
      </c>
      <c r="G9" s="7" t="s">
        <v>69</v>
      </c>
      <c r="H9" s="7" t="s">
        <v>326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310</v>
      </c>
      <c r="B10" s="7" t="s">
        <v>331</v>
      </c>
      <c r="C10" s="7" t="s">
        <v>332</v>
      </c>
      <c r="D10" s="7"/>
      <c r="E10" s="7" t="s">
        <v>49</v>
      </c>
      <c r="F10" s="7" t="s">
        <v>24</v>
      </c>
      <c r="G10" s="7" t="s">
        <v>69</v>
      </c>
      <c r="H10" s="7" t="s">
        <v>326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310</v>
      </c>
      <c r="B11" s="7" t="s">
        <v>333</v>
      </c>
      <c r="C11" s="7" t="s">
        <v>334</v>
      </c>
      <c r="D11" s="7"/>
      <c r="E11" s="7" t="s">
        <v>49</v>
      </c>
      <c r="F11" s="7" t="s">
        <v>24</v>
      </c>
      <c r="G11" s="7" t="s">
        <v>82</v>
      </c>
      <c r="H11" s="7" t="s">
        <v>335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310</v>
      </c>
      <c r="B12" s="7" t="s">
        <v>336</v>
      </c>
      <c r="C12" s="7" t="s">
        <v>337</v>
      </c>
      <c r="D12" s="7"/>
      <c r="E12" s="7" t="s">
        <v>49</v>
      </c>
      <c r="F12" s="7" t="s">
        <v>24</v>
      </c>
      <c r="G12" s="7" t="s">
        <v>82</v>
      </c>
      <c r="H12" s="7" t="s">
        <v>335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310</v>
      </c>
      <c r="B13" s="7" t="s">
        <v>338</v>
      </c>
      <c r="C13" s="7" t="s">
        <v>339</v>
      </c>
      <c r="D13" s="7"/>
      <c r="E13" s="7" t="s">
        <v>49</v>
      </c>
      <c r="F13" s="7" t="s">
        <v>24</v>
      </c>
      <c r="G13" s="7" t="s">
        <v>89</v>
      </c>
      <c r="H13" s="7" t="s">
        <v>340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310</v>
      </c>
      <c r="B14" s="7" t="s">
        <v>341</v>
      </c>
      <c r="C14" s="7" t="s">
        <v>342</v>
      </c>
      <c r="D14" s="7"/>
      <c r="E14" s="7" t="s">
        <v>49</v>
      </c>
      <c r="F14" s="7" t="s">
        <v>24</v>
      </c>
      <c r="G14" s="7" t="s">
        <v>89</v>
      </c>
      <c r="H14" s="7" t="s">
        <v>340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310</v>
      </c>
      <c r="B15" s="7" t="s">
        <v>343</v>
      </c>
      <c r="C15" s="7" t="s">
        <v>344</v>
      </c>
      <c r="D15" s="7"/>
      <c r="E15" s="7" t="s">
        <v>49</v>
      </c>
      <c r="F15" s="7" t="s">
        <v>24</v>
      </c>
      <c r="G15" s="7" t="s">
        <v>89</v>
      </c>
      <c r="H15" s="7" t="s">
        <v>340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310</v>
      </c>
      <c r="B16" s="7" t="s">
        <v>345</v>
      </c>
      <c r="C16" s="7" t="s">
        <v>346</v>
      </c>
      <c r="D16" s="7"/>
      <c r="E16" s="7" t="s">
        <v>49</v>
      </c>
      <c r="F16" s="7" t="s">
        <v>24</v>
      </c>
      <c r="G16" s="7" t="s">
        <v>99</v>
      </c>
      <c r="H16" s="7" t="s">
        <v>347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310</v>
      </c>
      <c r="B17" s="7" t="s">
        <v>348</v>
      </c>
      <c r="C17" s="7" t="s">
        <v>349</v>
      </c>
      <c r="D17" s="7"/>
      <c r="E17" s="7" t="s">
        <v>49</v>
      </c>
      <c r="F17" s="7" t="s">
        <v>24</v>
      </c>
      <c r="G17" s="7" t="s">
        <v>99</v>
      </c>
      <c r="H17" s="7" t="s">
        <v>347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310</v>
      </c>
      <c r="B18" s="7" t="s">
        <v>350</v>
      </c>
      <c r="C18" s="7" t="s">
        <v>351</v>
      </c>
      <c r="D18" s="7"/>
      <c r="E18" s="7" t="s">
        <v>49</v>
      </c>
      <c r="F18" s="7" t="s">
        <v>24</v>
      </c>
      <c r="G18" s="7" t="s">
        <v>99</v>
      </c>
      <c r="H18" s="7" t="s">
        <v>347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310</v>
      </c>
      <c r="B19" s="7" t="s">
        <v>352</v>
      </c>
      <c r="C19" s="7" t="s">
        <v>353</v>
      </c>
      <c r="D19" s="7"/>
      <c r="E19" s="7" t="s">
        <v>49</v>
      </c>
      <c r="F19" s="7" t="s">
        <v>24</v>
      </c>
      <c r="G19" s="7" t="s">
        <v>109</v>
      </c>
      <c r="H19" s="7" t="s">
        <v>354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310</v>
      </c>
      <c r="B20" s="7" t="s">
        <v>355</v>
      </c>
      <c r="C20" s="7" t="s">
        <v>356</v>
      </c>
      <c r="D20" s="7"/>
      <c r="E20" s="7" t="s">
        <v>61</v>
      </c>
      <c r="F20" s="7" t="s">
        <v>24</v>
      </c>
      <c r="G20" s="7" t="s">
        <v>109</v>
      </c>
      <c r="H20" s="7" t="s">
        <v>354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310</v>
      </c>
      <c r="B21" s="7" t="s">
        <v>357</v>
      </c>
      <c r="C21" s="7" t="s">
        <v>358</v>
      </c>
      <c r="D21" s="7"/>
      <c r="E21" s="7" t="s">
        <v>49</v>
      </c>
      <c r="F21" s="7" t="s">
        <v>26</v>
      </c>
      <c r="G21" s="7" t="s">
        <v>116</v>
      </c>
      <c r="H21" s="7" t="s">
        <v>359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310</v>
      </c>
      <c r="B22" s="7" t="s">
        <v>360</v>
      </c>
      <c r="C22" s="7" t="s">
        <v>361</v>
      </c>
      <c r="D22" s="7"/>
      <c r="E22" s="7" t="s">
        <v>49</v>
      </c>
      <c r="F22" s="7" t="s">
        <v>26</v>
      </c>
      <c r="G22" s="7" t="s">
        <v>116</v>
      </c>
      <c r="H22" s="7" t="s">
        <v>359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310</v>
      </c>
      <c r="B23" s="7" t="s">
        <v>362</v>
      </c>
      <c r="C23" s="7" t="s">
        <v>363</v>
      </c>
      <c r="D23" s="7"/>
      <c r="E23" s="7" t="s">
        <v>61</v>
      </c>
      <c r="F23" s="7" t="s">
        <v>26</v>
      </c>
      <c r="G23" s="7" t="s">
        <v>116</v>
      </c>
      <c r="H23" s="7" t="s">
        <v>359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 t="s">
        <v>310</v>
      </c>
      <c r="B24" s="7" t="s">
        <v>364</v>
      </c>
      <c r="C24" s="7" t="s">
        <v>365</v>
      </c>
      <c r="D24" s="7"/>
      <c r="E24" s="7" t="s">
        <v>49</v>
      </c>
      <c r="F24" s="7" t="s">
        <v>26</v>
      </c>
      <c r="G24" s="7" t="s">
        <v>126</v>
      </c>
      <c r="H24" s="7" t="s">
        <v>366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310</v>
      </c>
      <c r="B25" s="7" t="s">
        <v>367</v>
      </c>
      <c r="C25" s="7" t="s">
        <v>368</v>
      </c>
      <c r="D25" s="7"/>
      <c r="E25" s="7" t="s">
        <v>49</v>
      </c>
      <c r="F25" s="7" t="s">
        <v>26</v>
      </c>
      <c r="G25" s="7" t="s">
        <v>126</v>
      </c>
      <c r="H25" s="7" t="s">
        <v>366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310</v>
      </c>
      <c r="B26" s="7" t="s">
        <v>369</v>
      </c>
      <c r="C26" s="7" t="s">
        <v>370</v>
      </c>
      <c r="D26" s="7"/>
      <c r="E26" s="7" t="s">
        <v>49</v>
      </c>
      <c r="F26" s="7" t="s">
        <v>26</v>
      </c>
      <c r="G26" s="7" t="s">
        <v>126</v>
      </c>
      <c r="H26" s="7" t="s">
        <v>366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310</v>
      </c>
      <c r="B27" s="7" t="s">
        <v>371</v>
      </c>
      <c r="C27" s="7" t="s">
        <v>372</v>
      </c>
      <c r="D27" s="7"/>
      <c r="E27" s="7" t="s">
        <v>61</v>
      </c>
      <c r="F27" s="7" t="s">
        <v>26</v>
      </c>
      <c r="G27" s="7" t="s">
        <v>126</v>
      </c>
      <c r="H27" s="7" t="s">
        <v>366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310</v>
      </c>
      <c r="B28" s="7" t="s">
        <v>373</v>
      </c>
      <c r="C28" s="7" t="s">
        <v>374</v>
      </c>
      <c r="D28" s="7"/>
      <c r="E28" s="7" t="s">
        <v>139</v>
      </c>
      <c r="F28" s="7" t="s">
        <v>26</v>
      </c>
      <c r="G28" s="7" t="s">
        <v>140</v>
      </c>
      <c r="H28" s="7" t="s">
        <v>375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310</v>
      </c>
      <c r="B29" s="7" t="s">
        <v>376</v>
      </c>
      <c r="C29" s="7" t="s">
        <v>377</v>
      </c>
      <c r="D29" s="7"/>
      <c r="E29" s="7" t="s">
        <v>49</v>
      </c>
      <c r="F29" s="7" t="s">
        <v>26</v>
      </c>
      <c r="G29" s="7" t="s">
        <v>144</v>
      </c>
      <c r="H29" s="7" t="s">
        <v>378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310</v>
      </c>
      <c r="B30" s="7" t="s">
        <v>379</v>
      </c>
      <c r="C30" s="7" t="s">
        <v>380</v>
      </c>
      <c r="D30" s="7"/>
      <c r="E30" s="7" t="s">
        <v>49</v>
      </c>
      <c r="F30" s="7" t="s">
        <v>26</v>
      </c>
      <c r="G30" s="7" t="s">
        <v>144</v>
      </c>
      <c r="H30" s="7" t="s">
        <v>378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310</v>
      </c>
      <c r="B31" s="7" t="s">
        <v>381</v>
      </c>
      <c r="C31" s="7" t="s">
        <v>382</v>
      </c>
      <c r="D31" s="7"/>
      <c r="E31" s="7" t="s">
        <v>49</v>
      </c>
      <c r="F31" s="7" t="s">
        <v>26</v>
      </c>
      <c r="G31" s="7" t="s">
        <v>144</v>
      </c>
      <c r="H31" s="7" t="s">
        <v>378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310</v>
      </c>
      <c r="B32" s="7" t="s">
        <v>383</v>
      </c>
      <c r="C32" s="7" t="s">
        <v>384</v>
      </c>
      <c r="D32" s="7"/>
      <c r="E32" s="7" t="s">
        <v>61</v>
      </c>
      <c r="F32" s="7" t="s">
        <v>26</v>
      </c>
      <c r="G32" s="7" t="s">
        <v>144</v>
      </c>
      <c r="H32" s="7" t="s">
        <v>378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310</v>
      </c>
      <c r="B33" s="7" t="s">
        <v>385</v>
      </c>
      <c r="C33" s="7" t="s">
        <v>386</v>
      </c>
      <c r="D33" s="7"/>
      <c r="E33" s="7" t="s">
        <v>49</v>
      </c>
      <c r="F33" s="7" t="s">
        <v>26</v>
      </c>
      <c r="G33" s="7" t="s">
        <v>144</v>
      </c>
      <c r="H33" s="7" t="s">
        <v>378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310</v>
      </c>
      <c r="B34" s="7" t="s">
        <v>387</v>
      </c>
      <c r="C34" s="7" t="s">
        <v>388</v>
      </c>
      <c r="D34" s="7"/>
      <c r="E34" s="7" t="s">
        <v>49</v>
      </c>
      <c r="F34" s="7" t="s">
        <v>26</v>
      </c>
      <c r="G34" s="7" t="s">
        <v>144</v>
      </c>
      <c r="H34" s="7" t="s">
        <v>378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310</v>
      </c>
      <c r="B35" s="7" t="s">
        <v>389</v>
      </c>
      <c r="C35" s="7" t="s">
        <v>390</v>
      </c>
      <c r="D35" s="7"/>
      <c r="E35" s="7" t="s">
        <v>61</v>
      </c>
      <c r="F35" s="7" t="s">
        <v>26</v>
      </c>
      <c r="G35" s="7" t="s">
        <v>163</v>
      </c>
      <c r="H35" s="7" t="s">
        <v>391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310</v>
      </c>
      <c r="B36" s="7" t="s">
        <v>392</v>
      </c>
      <c r="C36" s="7" t="s">
        <v>393</v>
      </c>
      <c r="D36" s="7"/>
      <c r="E36" s="7" t="s">
        <v>49</v>
      </c>
      <c r="F36" s="7" t="s">
        <v>26</v>
      </c>
      <c r="G36" s="7" t="s">
        <v>167</v>
      </c>
      <c r="H36" s="7" t="s">
        <v>394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 t="s">
        <v>310</v>
      </c>
      <c r="B37" s="7" t="s">
        <v>395</v>
      </c>
      <c r="C37" s="7" t="s">
        <v>396</v>
      </c>
      <c r="D37" s="7"/>
      <c r="E37" s="7" t="s">
        <v>49</v>
      </c>
      <c r="F37" s="7" t="s">
        <v>26</v>
      </c>
      <c r="G37" s="7" t="s">
        <v>167</v>
      </c>
      <c r="H37" s="7" t="s">
        <v>394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310</v>
      </c>
      <c r="B38" s="7" t="s">
        <v>397</v>
      </c>
      <c r="C38" s="7" t="s">
        <v>398</v>
      </c>
      <c r="D38" s="7"/>
      <c r="E38" s="7" t="s">
        <v>61</v>
      </c>
      <c r="F38" s="7" t="s">
        <v>26</v>
      </c>
      <c r="G38" s="7" t="s">
        <v>167</v>
      </c>
      <c r="H38" s="7" t="s">
        <v>394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310</v>
      </c>
      <c r="B39" s="7" t="s">
        <v>399</v>
      </c>
      <c r="C39" s="7" t="s">
        <v>400</v>
      </c>
      <c r="D39" s="7"/>
      <c r="E39" s="7" t="s">
        <v>49</v>
      </c>
      <c r="F39" s="7" t="s">
        <v>26</v>
      </c>
      <c r="G39" s="7" t="s">
        <v>167</v>
      </c>
      <c r="H39" s="7" t="s">
        <v>394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310</v>
      </c>
      <c r="B40" s="7" t="s">
        <v>401</v>
      </c>
      <c r="C40" s="7" t="s">
        <v>402</v>
      </c>
      <c r="D40" s="7"/>
      <c r="E40" s="7" t="s">
        <v>61</v>
      </c>
      <c r="F40" s="7" t="s">
        <v>26</v>
      </c>
      <c r="G40" s="7" t="s">
        <v>167</v>
      </c>
      <c r="H40" s="7" t="s">
        <v>394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310</v>
      </c>
      <c r="B41" s="7" t="s">
        <v>403</v>
      </c>
      <c r="C41" s="7" t="s">
        <v>404</v>
      </c>
      <c r="D41" s="7"/>
      <c r="E41" s="7" t="s">
        <v>61</v>
      </c>
      <c r="F41" s="7" t="s">
        <v>26</v>
      </c>
      <c r="G41" s="7" t="s">
        <v>167</v>
      </c>
      <c r="H41" s="7" t="s">
        <v>394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310</v>
      </c>
      <c r="B42" s="7" t="s">
        <v>405</v>
      </c>
      <c r="C42" s="7" t="s">
        <v>406</v>
      </c>
      <c r="D42" s="7"/>
      <c r="E42" s="7" t="s">
        <v>61</v>
      </c>
      <c r="F42" s="7" t="s">
        <v>26</v>
      </c>
      <c r="G42" s="7" t="s">
        <v>163</v>
      </c>
      <c r="H42" s="7" t="s">
        <v>391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310</v>
      </c>
      <c r="B43" s="7" t="s">
        <v>407</v>
      </c>
      <c r="C43" s="7" t="s">
        <v>408</v>
      </c>
      <c r="D43" s="7"/>
      <c r="E43" s="7" t="s">
        <v>49</v>
      </c>
      <c r="F43" s="7" t="s">
        <v>26</v>
      </c>
      <c r="G43" s="7" t="s">
        <v>189</v>
      </c>
      <c r="H43" s="7" t="s">
        <v>409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310</v>
      </c>
      <c r="B44" s="7" t="s">
        <v>410</v>
      </c>
      <c r="C44" s="7" t="s">
        <v>411</v>
      </c>
      <c r="D44" s="7"/>
      <c r="E44" s="7" t="s">
        <v>49</v>
      </c>
      <c r="F44" s="7" t="s">
        <v>26</v>
      </c>
      <c r="G44" s="7" t="s">
        <v>189</v>
      </c>
      <c r="H44" s="7" t="s">
        <v>409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310</v>
      </c>
      <c r="B45" s="7" t="s">
        <v>412</v>
      </c>
      <c r="C45" s="7" t="s">
        <v>413</v>
      </c>
      <c r="D45" s="7"/>
      <c r="E45" s="7" t="s">
        <v>61</v>
      </c>
      <c r="F45" s="7" t="s">
        <v>26</v>
      </c>
      <c r="G45" s="7" t="s">
        <v>189</v>
      </c>
      <c r="H45" s="7" t="s">
        <v>409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310</v>
      </c>
      <c r="B46" s="7" t="s">
        <v>414</v>
      </c>
      <c r="C46" s="7" t="s">
        <v>415</v>
      </c>
      <c r="D46" s="7"/>
      <c r="E46" s="7" t="s">
        <v>49</v>
      </c>
      <c r="F46" s="7" t="s">
        <v>26</v>
      </c>
      <c r="G46" s="7" t="s">
        <v>189</v>
      </c>
      <c r="H46" s="7" t="s">
        <v>409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310</v>
      </c>
      <c r="B47" s="7" t="s">
        <v>416</v>
      </c>
      <c r="C47" s="7" t="s">
        <v>417</v>
      </c>
      <c r="D47" s="7"/>
      <c r="E47" s="7" t="s">
        <v>49</v>
      </c>
      <c r="F47" s="7" t="s">
        <v>26</v>
      </c>
      <c r="G47" s="7" t="s">
        <v>189</v>
      </c>
      <c r="H47" s="7" t="s">
        <v>409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310</v>
      </c>
      <c r="B48" s="7" t="s">
        <v>418</v>
      </c>
      <c r="C48" s="7" t="s">
        <v>419</v>
      </c>
      <c r="D48" s="7"/>
      <c r="E48" s="7" t="s">
        <v>49</v>
      </c>
      <c r="F48" s="7" t="s">
        <v>26</v>
      </c>
      <c r="G48" s="7" t="s">
        <v>189</v>
      </c>
      <c r="H48" s="7" t="s">
        <v>409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310</v>
      </c>
      <c r="B49" s="7" t="s">
        <v>420</v>
      </c>
      <c r="C49" s="7" t="s">
        <v>421</v>
      </c>
      <c r="D49" s="7"/>
      <c r="E49" s="7" t="s">
        <v>49</v>
      </c>
      <c r="F49" s="7" t="s">
        <v>26</v>
      </c>
      <c r="G49" s="7" t="s">
        <v>208</v>
      </c>
      <c r="H49" s="7" t="s">
        <v>422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310</v>
      </c>
      <c r="B50" s="7" t="s">
        <v>423</v>
      </c>
      <c r="C50" s="7" t="s">
        <v>424</v>
      </c>
      <c r="D50" s="7"/>
      <c r="E50" s="7" t="s">
        <v>49</v>
      </c>
      <c r="F50" s="7" t="s">
        <v>26</v>
      </c>
      <c r="G50" s="7" t="s">
        <v>212</v>
      </c>
      <c r="H50" s="7" t="s">
        <v>425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310</v>
      </c>
      <c r="B51" s="7" t="s">
        <v>426</v>
      </c>
      <c r="C51" s="7" t="s">
        <v>427</v>
      </c>
      <c r="D51" s="7"/>
      <c r="E51" s="7" t="s">
        <v>49</v>
      </c>
      <c r="F51" s="7" t="s">
        <v>26</v>
      </c>
      <c r="G51" s="7" t="s">
        <v>212</v>
      </c>
      <c r="H51" s="7" t="s">
        <v>425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310</v>
      </c>
      <c r="B52" s="7" t="s">
        <v>428</v>
      </c>
      <c r="C52" s="7" t="s">
        <v>429</v>
      </c>
      <c r="D52" s="7"/>
      <c r="E52" s="7" t="s">
        <v>49</v>
      </c>
      <c r="F52" s="7" t="s">
        <v>26</v>
      </c>
      <c r="G52" s="7" t="s">
        <v>219</v>
      </c>
      <c r="H52" s="7" t="s">
        <v>430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310</v>
      </c>
      <c r="B53" s="7" t="s">
        <v>431</v>
      </c>
      <c r="C53" s="7" t="s">
        <v>432</v>
      </c>
      <c r="D53" s="7"/>
      <c r="E53" s="7" t="s">
        <v>61</v>
      </c>
      <c r="F53" s="7" t="s">
        <v>26</v>
      </c>
      <c r="G53" s="7" t="s">
        <v>219</v>
      </c>
      <c r="H53" s="7" t="s">
        <v>430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310</v>
      </c>
      <c r="B54" s="7" t="s">
        <v>433</v>
      </c>
      <c r="C54" s="7" t="s">
        <v>434</v>
      </c>
      <c r="D54" s="7"/>
      <c r="E54" s="7" t="s">
        <v>49</v>
      </c>
      <c r="F54" s="7" t="s">
        <v>26</v>
      </c>
      <c r="G54" s="7" t="s">
        <v>212</v>
      </c>
      <c r="H54" s="7" t="s">
        <v>425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310</v>
      </c>
      <c r="B55" s="7" t="s">
        <v>435</v>
      </c>
      <c r="C55" s="7" t="s">
        <v>436</v>
      </c>
      <c r="D55" s="7"/>
      <c r="E55" s="7" t="s">
        <v>49</v>
      </c>
      <c r="F55" s="7" t="s">
        <v>26</v>
      </c>
      <c r="G55" s="7" t="s">
        <v>212</v>
      </c>
      <c r="H55" s="7" t="s">
        <v>425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 t="s">
        <v>310</v>
      </c>
      <c r="B56" s="7" t="s">
        <v>437</v>
      </c>
      <c r="C56" s="7" t="s">
        <v>438</v>
      </c>
      <c r="D56" s="7"/>
      <c r="E56" s="7" t="s">
        <v>61</v>
      </c>
      <c r="F56" s="7" t="s">
        <v>26</v>
      </c>
      <c r="G56" s="7" t="s">
        <v>212</v>
      </c>
      <c r="H56" s="7" t="s">
        <v>425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 t="s">
        <v>310</v>
      </c>
      <c r="B57" s="7" t="s">
        <v>439</v>
      </c>
      <c r="C57" s="7" t="s">
        <v>440</v>
      </c>
      <c r="D57" s="7"/>
      <c r="E57" s="7" t="s">
        <v>61</v>
      </c>
      <c r="F57" s="7" t="s">
        <v>28</v>
      </c>
      <c r="G57" s="7" t="s">
        <v>235</v>
      </c>
      <c r="H57" s="7" t="s">
        <v>441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310</v>
      </c>
      <c r="B58" s="7" t="s">
        <v>442</v>
      </c>
      <c r="C58" s="7" t="s">
        <v>443</v>
      </c>
      <c r="D58" s="7"/>
      <c r="E58" s="7" t="s">
        <v>61</v>
      </c>
      <c r="F58" s="7" t="s">
        <v>28</v>
      </c>
      <c r="G58" s="7" t="s">
        <v>235</v>
      </c>
      <c r="H58" s="7" t="s">
        <v>441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 t="s">
        <v>310</v>
      </c>
      <c r="B59" s="7" t="s">
        <v>444</v>
      </c>
      <c r="C59" s="7" t="s">
        <v>445</v>
      </c>
      <c r="D59" s="7"/>
      <c r="E59" s="7" t="s">
        <v>61</v>
      </c>
      <c r="F59" s="7" t="s">
        <v>28</v>
      </c>
      <c r="G59" s="7" t="s">
        <v>235</v>
      </c>
      <c r="H59" s="7" t="s">
        <v>441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 t="s">
        <v>310</v>
      </c>
      <c r="B60" s="7" t="s">
        <v>446</v>
      </c>
      <c r="C60" s="7" t="s">
        <v>447</v>
      </c>
      <c r="D60" s="7"/>
      <c r="E60" s="7" t="s">
        <v>61</v>
      </c>
      <c r="F60" s="7" t="s">
        <v>28</v>
      </c>
      <c r="G60" s="7" t="s">
        <v>245</v>
      </c>
      <c r="H60" s="7" t="s">
        <v>448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 t="s">
        <v>310</v>
      </c>
      <c r="B61" s="7" t="s">
        <v>449</v>
      </c>
      <c r="C61" s="7" t="s">
        <v>450</v>
      </c>
      <c r="D61" s="7"/>
      <c r="E61" s="7" t="s">
        <v>61</v>
      </c>
      <c r="F61" s="7" t="s">
        <v>28</v>
      </c>
      <c r="G61" s="7" t="s">
        <v>245</v>
      </c>
      <c r="H61" s="7" t="s">
        <v>448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 t="s">
        <v>310</v>
      </c>
      <c r="B62" s="7" t="s">
        <v>451</v>
      </c>
      <c r="C62" s="7" t="s">
        <v>452</v>
      </c>
      <c r="D62" s="7"/>
      <c r="E62" s="7" t="s">
        <v>61</v>
      </c>
      <c r="F62" s="7" t="s">
        <v>28</v>
      </c>
      <c r="G62" s="7" t="s">
        <v>252</v>
      </c>
      <c r="H62" s="7" t="s">
        <v>453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 t="s">
        <v>310</v>
      </c>
      <c r="B63" s="7" t="s">
        <v>454</v>
      </c>
      <c r="C63" s="7" t="s">
        <v>455</v>
      </c>
      <c r="D63" s="7"/>
      <c r="E63" s="7" t="s">
        <v>61</v>
      </c>
      <c r="F63" s="7" t="s">
        <v>28</v>
      </c>
      <c r="G63" s="7" t="s">
        <v>252</v>
      </c>
      <c r="H63" s="7" t="s">
        <v>453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310</v>
      </c>
      <c r="B64" s="7" t="s">
        <v>456</v>
      </c>
      <c r="C64" s="7" t="s">
        <v>457</v>
      </c>
      <c r="D64" s="7"/>
      <c r="E64" s="7" t="s">
        <v>139</v>
      </c>
      <c r="F64" s="7" t="s">
        <v>28</v>
      </c>
      <c r="G64" s="7" t="s">
        <v>252</v>
      </c>
      <c r="H64" s="7" t="s">
        <v>453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 t="s">
        <v>310</v>
      </c>
      <c r="B65" s="7" t="s">
        <v>458</v>
      </c>
      <c r="C65" s="7" t="s">
        <v>459</v>
      </c>
      <c r="D65" s="7"/>
      <c r="E65" s="7" t="s">
        <v>61</v>
      </c>
      <c r="F65" s="7" t="s">
        <v>28</v>
      </c>
      <c r="G65" s="7" t="s">
        <v>262</v>
      </c>
      <c r="H65" s="7" t="s">
        <v>460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310</v>
      </c>
      <c r="B66" s="7" t="s">
        <v>461</v>
      </c>
      <c r="C66" s="7" t="s">
        <v>462</v>
      </c>
      <c r="D66" s="7"/>
      <c r="E66" s="7" t="s">
        <v>61</v>
      </c>
      <c r="F66" s="7" t="s">
        <v>28</v>
      </c>
      <c r="G66" s="7" t="s">
        <v>262</v>
      </c>
      <c r="H66" s="7" t="s">
        <v>460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310</v>
      </c>
      <c r="B67" s="7" t="s">
        <v>463</v>
      </c>
      <c r="C67" s="7" t="s">
        <v>464</v>
      </c>
      <c r="D67" s="7"/>
      <c r="E67" s="7" t="s">
        <v>61</v>
      </c>
      <c r="F67" s="7" t="s">
        <v>28</v>
      </c>
      <c r="G67" s="7" t="s">
        <v>262</v>
      </c>
      <c r="H67" s="7" t="s">
        <v>460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 t="s">
        <v>310</v>
      </c>
      <c r="B68" s="7" t="s">
        <v>465</v>
      </c>
      <c r="C68" s="7" t="s">
        <v>466</v>
      </c>
      <c r="D68" s="7"/>
      <c r="E68" s="7" t="s">
        <v>61</v>
      </c>
      <c r="F68" s="7" t="s">
        <v>28</v>
      </c>
      <c r="G68" s="7" t="s">
        <v>262</v>
      </c>
      <c r="H68" s="7" t="s">
        <v>460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 t="s">
        <v>310</v>
      </c>
      <c r="B69" s="7" t="s">
        <v>467</v>
      </c>
      <c r="C69" s="7" t="s">
        <v>468</v>
      </c>
      <c r="D69" s="7"/>
      <c r="E69" s="7" t="s">
        <v>61</v>
      </c>
      <c r="F69" s="7" t="s">
        <v>28</v>
      </c>
      <c r="G69" s="7" t="s">
        <v>262</v>
      </c>
      <c r="H69" s="7" t="s">
        <v>460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 t="s">
        <v>310</v>
      </c>
      <c r="B70" s="7" t="s">
        <v>469</v>
      </c>
      <c r="C70" s="7" t="s">
        <v>470</v>
      </c>
      <c r="D70" s="7"/>
      <c r="E70" s="7" t="s">
        <v>49</v>
      </c>
      <c r="F70" s="7" t="s">
        <v>28</v>
      </c>
      <c r="G70" s="7" t="s">
        <v>278</v>
      </c>
      <c r="H70" s="7" t="s">
        <v>471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 t="s">
        <v>310</v>
      </c>
      <c r="B71" s="7" t="s">
        <v>472</v>
      </c>
      <c r="C71" s="7" t="s">
        <v>473</v>
      </c>
      <c r="D71" s="7"/>
      <c r="E71" s="7" t="s">
        <v>49</v>
      </c>
      <c r="F71" s="7" t="s">
        <v>28</v>
      </c>
      <c r="G71" s="7" t="s">
        <v>278</v>
      </c>
      <c r="H71" s="7" t="s">
        <v>471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 t="s">
        <v>310</v>
      </c>
      <c r="B72" s="7" t="s">
        <v>474</v>
      </c>
      <c r="C72" s="7" t="s">
        <v>475</v>
      </c>
      <c r="D72" s="7"/>
      <c r="E72" s="7" t="s">
        <v>49</v>
      </c>
      <c r="F72" s="7" t="s">
        <v>28</v>
      </c>
      <c r="G72" s="7" t="s">
        <v>285</v>
      </c>
      <c r="H72" s="7" t="s">
        <v>476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 t="s">
        <v>310</v>
      </c>
      <c r="B73" s="7" t="s">
        <v>477</v>
      </c>
      <c r="C73" s="7" t="s">
        <v>478</v>
      </c>
      <c r="D73" s="7"/>
      <c r="E73" s="7" t="s">
        <v>49</v>
      </c>
      <c r="F73" s="7" t="s">
        <v>28</v>
      </c>
      <c r="G73" s="7" t="s">
        <v>289</v>
      </c>
      <c r="H73" s="7" t="s">
        <v>479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4" t="s">
        <v>44</v>
      </c>
      <c r="B1" s="4"/>
      <c r="C1" s="4" t="s">
        <v>43</v>
      </c>
      <c r="D1" s="4"/>
      <c r="E1" s="4" t="s">
        <v>480</v>
      </c>
      <c r="F1" s="4"/>
      <c r="G1" s="4" t="s">
        <v>22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15</v>
      </c>
      <c r="B2" s="2"/>
      <c r="C2" s="2" t="s">
        <v>49</v>
      </c>
      <c r="D2" s="2"/>
      <c r="E2" s="2" t="s">
        <v>297</v>
      </c>
      <c r="F2" s="2"/>
      <c r="G2" s="2" t="s">
        <v>24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12</v>
      </c>
      <c r="B3" s="2"/>
      <c r="C3" s="2" t="s">
        <v>61</v>
      </c>
      <c r="D3" s="2"/>
      <c r="E3" s="2" t="s">
        <v>299</v>
      </c>
      <c r="F3" s="2"/>
      <c r="G3" s="2" t="s">
        <v>26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481</v>
      </c>
      <c r="B4" s="2"/>
      <c r="C4" s="2" t="s">
        <v>139</v>
      </c>
      <c r="D4" s="2"/>
      <c r="E4" s="2" t="s">
        <v>301</v>
      </c>
      <c r="F4" s="2"/>
      <c r="G4" s="2" t="s">
        <v>28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278</v>
      </c>
      <c r="B5" s="2"/>
      <c r="C5" s="2"/>
      <c r="D5" s="2"/>
      <c r="E5" s="2" t="s">
        <v>303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